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rish\citadel-abnb-reversedcf\model\"/>
    </mc:Choice>
  </mc:AlternateContent>
  <xr:revisionPtr revIDLastSave="0" documentId="13_ncr:1_{1C8AD7BE-13A9-457F-A7CC-E700F6EF34A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ver" sheetId="1" r:id="rId1"/>
    <sheet name="Mgmt_Literal" sheetId="2" r:id="rId2"/>
    <sheet name="Mgmt_Delivered" sheetId="3" r:id="rId3"/>
    <sheet name="Mgmt_Ambition" sheetId="4" r:id="rId4"/>
    <sheet name="Valuation" sheetId="5" r:id="rId5"/>
    <sheet name="Street" sheetId="6" r:id="rId6"/>
    <sheet name="Mgmt_Statements" sheetId="7" r:id="rId7"/>
    <sheet name="Rec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" i="5" l="1"/>
  <c r="E43" i="5"/>
  <c r="E42" i="5"/>
  <c r="E27" i="5"/>
  <c r="E26" i="5"/>
  <c r="B7" i="5"/>
  <c r="B8" i="5" s="1"/>
  <c r="K51" i="4"/>
  <c r="G51" i="4"/>
  <c r="M47" i="4"/>
  <c r="L45" i="4"/>
  <c r="K45" i="4"/>
  <c r="J45" i="4"/>
  <c r="I45" i="4"/>
  <c r="H45" i="4"/>
  <c r="G45" i="4"/>
  <c r="G42" i="4"/>
  <c r="L39" i="4"/>
  <c r="K39" i="4"/>
  <c r="J39" i="4"/>
  <c r="I39" i="4"/>
  <c r="H39" i="4"/>
  <c r="G39" i="4"/>
  <c r="M38" i="4"/>
  <c r="F38" i="4"/>
  <c r="E38" i="4"/>
  <c r="E39" i="4" s="1"/>
  <c r="D38" i="4"/>
  <c r="D41" i="4" s="1"/>
  <c r="D43" i="4" s="1"/>
  <c r="C38" i="4"/>
  <c r="C41" i="4" s="1"/>
  <c r="C43" i="4" s="1"/>
  <c r="O37" i="4"/>
  <c r="N37" i="4"/>
  <c r="N36" i="4"/>
  <c r="L36" i="4"/>
  <c r="K36" i="4"/>
  <c r="J36" i="4"/>
  <c r="I36" i="4"/>
  <c r="H36" i="4"/>
  <c r="G36" i="4"/>
  <c r="L35" i="4"/>
  <c r="K35" i="4"/>
  <c r="J35" i="4"/>
  <c r="I35" i="4"/>
  <c r="O35" i="4" s="1"/>
  <c r="H35" i="4"/>
  <c r="N35" i="4" s="1"/>
  <c r="G35" i="4"/>
  <c r="J32" i="4"/>
  <c r="J46" i="4" s="1"/>
  <c r="I32" i="4"/>
  <c r="I46" i="4" s="1"/>
  <c r="H32" i="4"/>
  <c r="H46" i="4" s="1"/>
  <c r="G32" i="4"/>
  <c r="K32" i="4" s="1"/>
  <c r="M30" i="4"/>
  <c r="J30" i="4"/>
  <c r="J57" i="4" s="1"/>
  <c r="I30" i="4"/>
  <c r="I57" i="4" s="1"/>
  <c r="F30" i="4"/>
  <c r="E30" i="4"/>
  <c r="D30" i="4"/>
  <c r="H30" i="4" s="1"/>
  <c r="L30" i="4" s="1"/>
  <c r="L57" i="4" s="1"/>
  <c r="C30" i="4"/>
  <c r="G30" i="4" s="1"/>
  <c r="M29" i="4"/>
  <c r="G29" i="4"/>
  <c r="F29" i="4"/>
  <c r="E29" i="4"/>
  <c r="D29" i="4"/>
  <c r="C29" i="4"/>
  <c r="J28" i="4"/>
  <c r="J53" i="4" s="1"/>
  <c r="I28" i="4"/>
  <c r="H28" i="4"/>
  <c r="G28" i="4"/>
  <c r="G33" i="4" s="1"/>
  <c r="M27" i="4"/>
  <c r="F27" i="4"/>
  <c r="E27" i="4"/>
  <c r="D27" i="4"/>
  <c r="C27" i="4"/>
  <c r="J26" i="4"/>
  <c r="J51" i="4" s="1"/>
  <c r="I26" i="4"/>
  <c r="I51" i="4" s="1"/>
  <c r="H26" i="4"/>
  <c r="H51" i="4" s="1"/>
  <c r="G26" i="4"/>
  <c r="K26" i="4" s="1"/>
  <c r="J25" i="4"/>
  <c r="I25" i="4"/>
  <c r="H25" i="4"/>
  <c r="G25" i="4"/>
  <c r="G27" i="4" s="1"/>
  <c r="C59" i="3"/>
  <c r="J53" i="3"/>
  <c r="H50" i="3"/>
  <c r="M47" i="3"/>
  <c r="G46" i="3"/>
  <c r="N45" i="3"/>
  <c r="L45" i="3"/>
  <c r="K45" i="3"/>
  <c r="J45" i="3"/>
  <c r="I45" i="3"/>
  <c r="H45" i="3"/>
  <c r="G45" i="3"/>
  <c r="G42" i="3"/>
  <c r="L39" i="3"/>
  <c r="K39" i="3"/>
  <c r="J39" i="3"/>
  <c r="I39" i="3"/>
  <c r="H39" i="3"/>
  <c r="G39" i="3"/>
  <c r="M38" i="3"/>
  <c r="M39" i="3" s="1"/>
  <c r="F38" i="3"/>
  <c r="F39" i="3" s="1"/>
  <c r="E38" i="3"/>
  <c r="E39" i="3" s="1"/>
  <c r="D38" i="3"/>
  <c r="D39" i="3" s="1"/>
  <c r="C38" i="3"/>
  <c r="C39" i="3" s="1"/>
  <c r="O37" i="3"/>
  <c r="N37" i="3"/>
  <c r="L36" i="3"/>
  <c r="K36" i="3"/>
  <c r="J36" i="3"/>
  <c r="I36" i="3"/>
  <c r="H36" i="3"/>
  <c r="G36" i="3"/>
  <c r="N36" i="3" s="1"/>
  <c r="L35" i="3"/>
  <c r="K35" i="3"/>
  <c r="J35" i="3"/>
  <c r="I35" i="3"/>
  <c r="H35" i="3"/>
  <c r="G35" i="3"/>
  <c r="N35" i="3" s="1"/>
  <c r="J33" i="3"/>
  <c r="I33" i="3"/>
  <c r="G33" i="3"/>
  <c r="K32" i="3"/>
  <c r="K46" i="3" s="1"/>
  <c r="J32" i="3"/>
  <c r="J46" i="3" s="1"/>
  <c r="I32" i="3"/>
  <c r="O32" i="3" s="1"/>
  <c r="C16" i="5" s="1"/>
  <c r="H32" i="3"/>
  <c r="L32" i="3" s="1"/>
  <c r="L46" i="3" s="1"/>
  <c r="G32" i="3"/>
  <c r="M30" i="3"/>
  <c r="H30" i="3"/>
  <c r="H57" i="3" s="1"/>
  <c r="G30" i="3"/>
  <c r="G57" i="3" s="1"/>
  <c r="F30" i="3"/>
  <c r="J30" i="3" s="1"/>
  <c r="J57" i="3" s="1"/>
  <c r="E30" i="3"/>
  <c r="I30" i="3" s="1"/>
  <c r="I57" i="3" s="1"/>
  <c r="D30" i="3"/>
  <c r="C30" i="3"/>
  <c r="M29" i="3"/>
  <c r="F29" i="3"/>
  <c r="E29" i="3"/>
  <c r="D29" i="3"/>
  <c r="C29" i="3"/>
  <c r="N28" i="3"/>
  <c r="K28" i="3"/>
  <c r="J28" i="3"/>
  <c r="I28" i="3"/>
  <c r="I53" i="3" s="1"/>
  <c r="H28" i="3"/>
  <c r="G28" i="3"/>
  <c r="M27" i="3"/>
  <c r="H27" i="3"/>
  <c r="F27" i="3"/>
  <c r="E27" i="3"/>
  <c r="D27" i="3"/>
  <c r="C27" i="3"/>
  <c r="J26" i="3"/>
  <c r="J51" i="3" s="1"/>
  <c r="I26" i="3"/>
  <c r="H26" i="3"/>
  <c r="L26" i="3" s="1"/>
  <c r="G26" i="3"/>
  <c r="G27" i="3" s="1"/>
  <c r="N25" i="3"/>
  <c r="L25" i="3"/>
  <c r="L50" i="3" s="1"/>
  <c r="K25" i="3"/>
  <c r="K50" i="3" s="1"/>
  <c r="J25" i="3"/>
  <c r="J50" i="3" s="1"/>
  <c r="I25" i="3"/>
  <c r="I50" i="3" s="1"/>
  <c r="H25" i="3"/>
  <c r="G25" i="3"/>
  <c r="G50" i="3" s="1"/>
  <c r="K51" i="2"/>
  <c r="J51" i="2"/>
  <c r="M47" i="2"/>
  <c r="G46" i="2"/>
  <c r="N45" i="2"/>
  <c r="L45" i="2"/>
  <c r="K45" i="2"/>
  <c r="J45" i="2"/>
  <c r="I45" i="2"/>
  <c r="H45" i="2"/>
  <c r="G45" i="2"/>
  <c r="C64" i="2" s="1"/>
  <c r="G42" i="2"/>
  <c r="E41" i="2"/>
  <c r="L39" i="2"/>
  <c r="K39" i="2"/>
  <c r="J39" i="2"/>
  <c r="I39" i="2"/>
  <c r="H39" i="2"/>
  <c r="G39" i="2"/>
  <c r="M38" i="2"/>
  <c r="M39" i="2" s="1"/>
  <c r="F38" i="2"/>
  <c r="F39" i="2" s="1"/>
  <c r="E38" i="2"/>
  <c r="E39" i="2" s="1"/>
  <c r="D38" i="2"/>
  <c r="D41" i="2" s="1"/>
  <c r="D43" i="2" s="1"/>
  <c r="C38" i="2"/>
  <c r="C39" i="2" s="1"/>
  <c r="O37" i="2"/>
  <c r="N37" i="2"/>
  <c r="L36" i="2"/>
  <c r="K36" i="2"/>
  <c r="J36" i="2"/>
  <c r="I36" i="2"/>
  <c r="H36" i="2"/>
  <c r="G36" i="2"/>
  <c r="N36" i="2" s="1"/>
  <c r="L35" i="2"/>
  <c r="K35" i="2"/>
  <c r="J35" i="2"/>
  <c r="I35" i="2"/>
  <c r="H35" i="2"/>
  <c r="G35" i="2"/>
  <c r="K32" i="2"/>
  <c r="K46" i="2" s="1"/>
  <c r="J32" i="2"/>
  <c r="J46" i="2" s="1"/>
  <c r="I32" i="2"/>
  <c r="I46" i="2" s="1"/>
  <c r="H32" i="2"/>
  <c r="L32" i="2" s="1"/>
  <c r="L46" i="2" s="1"/>
  <c r="G32" i="2"/>
  <c r="M30" i="2"/>
  <c r="F30" i="2"/>
  <c r="J30" i="2" s="1"/>
  <c r="J57" i="2" s="1"/>
  <c r="E30" i="2"/>
  <c r="I30" i="2" s="1"/>
  <c r="I57" i="2" s="1"/>
  <c r="D30" i="2"/>
  <c r="H30" i="2" s="1"/>
  <c r="C30" i="2"/>
  <c r="G30" i="2" s="1"/>
  <c r="M29" i="2"/>
  <c r="F29" i="2"/>
  <c r="E29" i="2"/>
  <c r="D29" i="2"/>
  <c r="C29" i="2"/>
  <c r="J28" i="2"/>
  <c r="J33" i="2" s="1"/>
  <c r="I28" i="2"/>
  <c r="H28" i="2"/>
  <c r="H33" i="2" s="1"/>
  <c r="G28" i="2"/>
  <c r="G33" i="2" s="1"/>
  <c r="M27" i="2"/>
  <c r="F27" i="2"/>
  <c r="E27" i="2"/>
  <c r="D27" i="2"/>
  <c r="C27" i="2"/>
  <c r="J26" i="2"/>
  <c r="I26" i="2"/>
  <c r="H26" i="2"/>
  <c r="G26" i="2"/>
  <c r="K26" i="2" s="1"/>
  <c r="J25" i="2"/>
  <c r="J50" i="2" s="1"/>
  <c r="I25" i="2"/>
  <c r="I50" i="2" s="1"/>
  <c r="H25" i="2"/>
  <c r="H50" i="2" s="1"/>
  <c r="G25" i="2"/>
  <c r="K25" i="2" s="1"/>
  <c r="J31" i="3" l="1"/>
  <c r="O35" i="2"/>
  <c r="K53" i="3"/>
  <c r="G53" i="2"/>
  <c r="D41" i="3"/>
  <c r="D43" i="3" s="1"/>
  <c r="C41" i="2"/>
  <c r="C43" i="2" s="1"/>
  <c r="H53" i="2"/>
  <c r="O45" i="3"/>
  <c r="G52" i="4"/>
  <c r="F41" i="3"/>
  <c r="F43" i="3" s="1"/>
  <c r="G46" i="4"/>
  <c r="N28" i="2"/>
  <c r="N53" i="2" s="1"/>
  <c r="C60" i="2" s="1"/>
  <c r="I33" i="2"/>
  <c r="H42" i="2"/>
  <c r="I42" i="2" s="1"/>
  <c r="E41" i="4"/>
  <c r="E43" i="4" s="1"/>
  <c r="C59" i="2"/>
  <c r="I31" i="3"/>
  <c r="I44" i="3" s="1"/>
  <c r="K33" i="3"/>
  <c r="L32" i="4"/>
  <c r="L46" i="4" s="1"/>
  <c r="C39" i="4"/>
  <c r="H29" i="3"/>
  <c r="H56" i="3" s="1"/>
  <c r="G51" i="3"/>
  <c r="J27" i="4"/>
  <c r="J52" i="4" s="1"/>
  <c r="N32" i="4"/>
  <c r="D39" i="4"/>
  <c r="N33" i="2"/>
  <c r="L28" i="2"/>
  <c r="I46" i="3"/>
  <c r="O46" i="3" s="1"/>
  <c r="K29" i="3"/>
  <c r="O36" i="2"/>
  <c r="I31" i="2"/>
  <c r="K26" i="3"/>
  <c r="H51" i="3"/>
  <c r="K25" i="4"/>
  <c r="K50" i="4" s="1"/>
  <c r="C64" i="4"/>
  <c r="G50" i="4"/>
  <c r="O46" i="2"/>
  <c r="L25" i="2"/>
  <c r="L50" i="2" s="1"/>
  <c r="E41" i="3"/>
  <c r="E43" i="3" s="1"/>
  <c r="O45" i="4"/>
  <c r="N32" i="2"/>
  <c r="I53" i="2"/>
  <c r="H52" i="3"/>
  <c r="K28" i="2"/>
  <c r="O32" i="2"/>
  <c r="B16" i="5" s="1"/>
  <c r="F41" i="2"/>
  <c r="F43" i="2" s="1"/>
  <c r="O25" i="3"/>
  <c r="O50" i="3" s="1"/>
  <c r="J27" i="3"/>
  <c r="J52" i="3" s="1"/>
  <c r="K30" i="3"/>
  <c r="K57" i="3" s="1"/>
  <c r="M41" i="3"/>
  <c r="M43" i="3" s="1"/>
  <c r="G56" i="4"/>
  <c r="H46" i="2"/>
  <c r="N46" i="2" s="1"/>
  <c r="G52" i="3"/>
  <c r="G29" i="3"/>
  <c r="G56" i="3" s="1"/>
  <c r="L30" i="3"/>
  <c r="L57" i="3" s="1"/>
  <c r="J27" i="2"/>
  <c r="J52" i="2" s="1"/>
  <c r="G51" i="2"/>
  <c r="N26" i="3"/>
  <c r="N51" i="3" s="1"/>
  <c r="O35" i="3"/>
  <c r="C64" i="3"/>
  <c r="J50" i="4"/>
  <c r="I29" i="2"/>
  <c r="I56" i="2" s="1"/>
  <c r="G57" i="2"/>
  <c r="K30" i="2"/>
  <c r="C63" i="2"/>
  <c r="N42" i="4"/>
  <c r="I27" i="2"/>
  <c r="I52" i="2" s="1"/>
  <c r="C19" i="5"/>
  <c r="N53" i="3"/>
  <c r="C60" i="3" s="1"/>
  <c r="H42" i="4"/>
  <c r="I42" i="4" s="1"/>
  <c r="G31" i="2"/>
  <c r="E43" i="2"/>
  <c r="H50" i="4"/>
  <c r="N25" i="4"/>
  <c r="N50" i="4" s="1"/>
  <c r="L25" i="4"/>
  <c r="L50" i="4" s="1"/>
  <c r="I53" i="4"/>
  <c r="I31" i="4"/>
  <c r="I29" i="4"/>
  <c r="I56" i="4" s="1"/>
  <c r="I33" i="4"/>
  <c r="H57" i="2"/>
  <c r="L30" i="2"/>
  <c r="J29" i="2"/>
  <c r="J56" i="2" s="1"/>
  <c r="I44" i="2"/>
  <c r="I54" i="2"/>
  <c r="I50" i="4"/>
  <c r="O25" i="4"/>
  <c r="O50" i="4" s="1"/>
  <c r="N50" i="3"/>
  <c r="N27" i="3"/>
  <c r="N52" i="3" s="1"/>
  <c r="C63" i="4"/>
  <c r="K30" i="4"/>
  <c r="K57" i="4" s="1"/>
  <c r="G57" i="4"/>
  <c r="G31" i="4"/>
  <c r="K46" i="4"/>
  <c r="O46" i="4" s="1"/>
  <c r="O32" i="4"/>
  <c r="D16" i="5" s="1"/>
  <c r="H51" i="2"/>
  <c r="H27" i="2"/>
  <c r="H52" i="2" s="1"/>
  <c r="L26" i="2"/>
  <c r="H29" i="2"/>
  <c r="H56" i="2" s="1"/>
  <c r="N26" i="2"/>
  <c r="N29" i="2" s="1"/>
  <c r="N35" i="2"/>
  <c r="I51" i="2"/>
  <c r="H53" i="4"/>
  <c r="H31" i="4"/>
  <c r="L28" i="4"/>
  <c r="H29" i="4"/>
  <c r="H56" i="4" s="1"/>
  <c r="H33" i="4"/>
  <c r="N33" i="4" s="1"/>
  <c r="N28" i="4"/>
  <c r="M41" i="4"/>
  <c r="M43" i="4" s="1"/>
  <c r="M39" i="4"/>
  <c r="L27" i="3"/>
  <c r="L52" i="3" s="1"/>
  <c r="L51" i="3"/>
  <c r="J31" i="4"/>
  <c r="I51" i="3"/>
  <c r="I27" i="3"/>
  <c r="I52" i="3" s="1"/>
  <c r="H42" i="3"/>
  <c r="I42" i="3" s="1"/>
  <c r="G50" i="2"/>
  <c r="H31" i="2"/>
  <c r="M41" i="2"/>
  <c r="M43" i="2" s="1"/>
  <c r="C41" i="3"/>
  <c r="C43" i="3" s="1"/>
  <c r="J44" i="3"/>
  <c r="H46" i="3"/>
  <c r="N46" i="3" s="1"/>
  <c r="I27" i="4"/>
  <c r="I52" i="4" s="1"/>
  <c r="D39" i="2"/>
  <c r="G31" i="3"/>
  <c r="N32" i="3"/>
  <c r="G53" i="3"/>
  <c r="J33" i="4"/>
  <c r="H57" i="4"/>
  <c r="O26" i="3"/>
  <c r="J31" i="2"/>
  <c r="J53" i="2"/>
  <c r="K50" i="2"/>
  <c r="H33" i="3"/>
  <c r="N33" i="3" s="1"/>
  <c r="H31" i="3"/>
  <c r="L28" i="3"/>
  <c r="I29" i="3"/>
  <c r="I56" i="3" s="1"/>
  <c r="H53" i="3"/>
  <c r="L26" i="4"/>
  <c r="H27" i="4"/>
  <c r="H52" i="4" s="1"/>
  <c r="N25" i="2"/>
  <c r="N50" i="2" s="1"/>
  <c r="O36" i="3"/>
  <c r="F39" i="4"/>
  <c r="F41" i="4"/>
  <c r="G27" i="2"/>
  <c r="G52" i="2" s="1"/>
  <c r="O45" i="2"/>
  <c r="J29" i="3"/>
  <c r="J56" i="3" s="1"/>
  <c r="K27" i="2"/>
  <c r="K52" i="2" s="1"/>
  <c r="B19" i="5"/>
  <c r="C63" i="3"/>
  <c r="N26" i="4"/>
  <c r="G53" i="4"/>
  <c r="C59" i="4"/>
  <c r="K28" i="4"/>
  <c r="J29" i="4"/>
  <c r="J56" i="4" s="1"/>
  <c r="O36" i="4"/>
  <c r="N45" i="4"/>
  <c r="K27" i="4"/>
  <c r="K52" i="4" s="1"/>
  <c r="G29" i="2"/>
  <c r="G56" i="2" s="1"/>
  <c r="N46" i="4"/>
  <c r="K56" i="3" l="1"/>
  <c r="I34" i="3"/>
  <c r="I54" i="3"/>
  <c r="N42" i="2"/>
  <c r="L33" i="2"/>
  <c r="L53" i="2"/>
  <c r="K31" i="3"/>
  <c r="O25" i="2"/>
  <c r="J34" i="3"/>
  <c r="J38" i="3" s="1"/>
  <c r="J54" i="3"/>
  <c r="J42" i="2"/>
  <c r="K42" i="2" s="1"/>
  <c r="L42" i="2" s="1"/>
  <c r="B18" i="5" s="1"/>
  <c r="K53" i="2"/>
  <c r="K33" i="2"/>
  <c r="O33" i="2" s="1"/>
  <c r="K29" i="2"/>
  <c r="K51" i="3"/>
  <c r="K27" i="3"/>
  <c r="K52" i="3" s="1"/>
  <c r="I34" i="2"/>
  <c r="N29" i="3"/>
  <c r="O28" i="2"/>
  <c r="L29" i="2"/>
  <c r="L56" i="2" s="1"/>
  <c r="L51" i="2"/>
  <c r="L27" i="2"/>
  <c r="L52" i="2" s="1"/>
  <c r="N51" i="4"/>
  <c r="N27" i="4"/>
  <c r="N52" i="4" s="1"/>
  <c r="J44" i="2"/>
  <c r="J34" i="2"/>
  <c r="J38" i="2" s="1"/>
  <c r="J54" i="2"/>
  <c r="H34" i="2"/>
  <c r="H38" i="2" s="1"/>
  <c r="H54" i="2"/>
  <c r="H44" i="2"/>
  <c r="J42" i="3"/>
  <c r="K42" i="3" s="1"/>
  <c r="L42" i="3" s="1"/>
  <c r="C18" i="5" s="1"/>
  <c r="N42" i="3"/>
  <c r="I38" i="2"/>
  <c r="I38" i="3"/>
  <c r="K56" i="2"/>
  <c r="L33" i="4"/>
  <c r="L29" i="4"/>
  <c r="L56" i="4" s="1"/>
  <c r="L31" i="4"/>
  <c r="L53" i="4"/>
  <c r="O28" i="4"/>
  <c r="I54" i="4"/>
  <c r="I34" i="4"/>
  <c r="I44" i="4"/>
  <c r="O27" i="3"/>
  <c r="O52" i="3" s="1"/>
  <c r="O51" i="3"/>
  <c r="N56" i="2"/>
  <c r="C62" i="2"/>
  <c r="H34" i="4"/>
  <c r="H38" i="4" s="1"/>
  <c r="H54" i="4"/>
  <c r="H44" i="4"/>
  <c r="L51" i="4"/>
  <c r="L27" i="4"/>
  <c r="L52" i="4" s="1"/>
  <c r="O26" i="4"/>
  <c r="L31" i="3"/>
  <c r="L53" i="3"/>
  <c r="L29" i="3"/>
  <c r="L56" i="3" s="1"/>
  <c r="L33" i="3"/>
  <c r="O33" i="3" s="1"/>
  <c r="O28" i="3"/>
  <c r="G44" i="4"/>
  <c r="G34" i="4"/>
  <c r="G54" i="4"/>
  <c r="N31" i="4"/>
  <c r="K57" i="2"/>
  <c r="K31" i="2"/>
  <c r="O31" i="2" s="1"/>
  <c r="H34" i="3"/>
  <c r="H38" i="3" s="1"/>
  <c r="H44" i="3"/>
  <c r="H54" i="3"/>
  <c r="J44" i="4"/>
  <c r="J34" i="4"/>
  <c r="J38" i="4" s="1"/>
  <c r="J54" i="4"/>
  <c r="L57" i="2"/>
  <c r="L31" i="2"/>
  <c r="G54" i="2"/>
  <c r="G34" i="2"/>
  <c r="N31" i="2"/>
  <c r="G44" i="2"/>
  <c r="G34" i="3"/>
  <c r="N31" i="3"/>
  <c r="K54" i="3"/>
  <c r="G44" i="3"/>
  <c r="G54" i="3"/>
  <c r="K33" i="4"/>
  <c r="O33" i="4" s="1"/>
  <c r="K31" i="4"/>
  <c r="K53" i="4"/>
  <c r="K29" i="4"/>
  <c r="K56" i="4" s="1"/>
  <c r="N51" i="2"/>
  <c r="N27" i="2"/>
  <c r="N52" i="2" s="1"/>
  <c r="J42" i="4"/>
  <c r="K42" i="4" s="1"/>
  <c r="L42" i="4" s="1"/>
  <c r="D18" i="5" s="1"/>
  <c r="O26" i="2"/>
  <c r="F43" i="4"/>
  <c r="D19" i="5"/>
  <c r="N29" i="4"/>
  <c r="N53" i="4"/>
  <c r="C60" i="4" s="1"/>
  <c r="O50" i="2"/>
  <c r="B11" i="5" l="1"/>
  <c r="O53" i="2"/>
  <c r="K34" i="3"/>
  <c r="K38" i="3" s="1"/>
  <c r="K40" i="3" s="1"/>
  <c r="K41" i="3" s="1"/>
  <c r="K44" i="3"/>
  <c r="J40" i="3"/>
  <c r="J41" i="3"/>
  <c r="J43" i="3" s="1"/>
  <c r="J55" i="3" s="1"/>
  <c r="C62" i="3"/>
  <c r="N56" i="3"/>
  <c r="O42" i="2"/>
  <c r="O30" i="2"/>
  <c r="O54" i="2"/>
  <c r="B12" i="5"/>
  <c r="K44" i="4"/>
  <c r="K34" i="4"/>
  <c r="K38" i="4" s="1"/>
  <c r="K54" i="4"/>
  <c r="G38" i="4"/>
  <c r="N34" i="4"/>
  <c r="N56" i="4"/>
  <c r="C62" i="4"/>
  <c r="J40" i="2"/>
  <c r="J41" i="2" s="1"/>
  <c r="J43" i="2" s="1"/>
  <c r="J55" i="2" s="1"/>
  <c r="C20" i="5"/>
  <c r="C24" i="5" s="1"/>
  <c r="N54" i="3"/>
  <c r="N30" i="3"/>
  <c r="N34" i="3"/>
  <c r="G38" i="3"/>
  <c r="L34" i="3"/>
  <c r="L44" i="3"/>
  <c r="O44" i="3" s="1"/>
  <c r="C15" i="5" s="1"/>
  <c r="L54" i="3"/>
  <c r="O31" i="3"/>
  <c r="O42" i="4"/>
  <c r="H40" i="3"/>
  <c r="H41" i="3" s="1"/>
  <c r="H43" i="3" s="1"/>
  <c r="H55" i="3" s="1"/>
  <c r="O31" i="4"/>
  <c r="I40" i="2"/>
  <c r="L34" i="2"/>
  <c r="L38" i="2" s="1"/>
  <c r="L54" i="2"/>
  <c r="L44" i="2"/>
  <c r="H40" i="4"/>
  <c r="H41" i="4" s="1"/>
  <c r="H43" i="4" s="1"/>
  <c r="H55" i="4" s="1"/>
  <c r="J40" i="4"/>
  <c r="J41" i="4" s="1"/>
  <c r="J43" i="4" s="1"/>
  <c r="J55" i="4" s="1"/>
  <c r="G47" i="2"/>
  <c r="H47" i="2" s="1"/>
  <c r="N44" i="2"/>
  <c r="K34" i="2"/>
  <c r="K38" i="2" s="1"/>
  <c r="K54" i="2"/>
  <c r="K44" i="2"/>
  <c r="O27" i="4"/>
  <c r="O52" i="4" s="1"/>
  <c r="O51" i="4"/>
  <c r="I38" i="4"/>
  <c r="O27" i="2"/>
  <c r="O52" i="2" s="1"/>
  <c r="O51" i="2"/>
  <c r="O29" i="2"/>
  <c r="O56" i="2" s="1"/>
  <c r="L54" i="4"/>
  <c r="L34" i="4"/>
  <c r="L38" i="4" s="1"/>
  <c r="L44" i="4"/>
  <c r="O44" i="4" s="1"/>
  <c r="D15" i="5" s="1"/>
  <c r="G47" i="4"/>
  <c r="H47" i="4" s="1"/>
  <c r="N44" i="4"/>
  <c r="H40" i="2"/>
  <c r="H41" i="2"/>
  <c r="H43" i="2" s="1"/>
  <c r="H55" i="2" s="1"/>
  <c r="N54" i="4"/>
  <c r="N30" i="4"/>
  <c r="D20" i="5"/>
  <c r="D24" i="5" s="1"/>
  <c r="D11" i="5"/>
  <c r="O53" i="4"/>
  <c r="O29" i="4"/>
  <c r="O56" i="4" s="1"/>
  <c r="C11" i="5"/>
  <c r="O53" i="3"/>
  <c r="O29" i="3"/>
  <c r="O56" i="3" s="1"/>
  <c r="G47" i="3"/>
  <c r="H47" i="3" s="1"/>
  <c r="N44" i="3"/>
  <c r="I40" i="3"/>
  <c r="I41" i="3"/>
  <c r="B20" i="5"/>
  <c r="B24" i="5" s="1"/>
  <c r="N30" i="2"/>
  <c r="N54" i="2"/>
  <c r="G38" i="2"/>
  <c r="N34" i="2"/>
  <c r="O42" i="3"/>
  <c r="K43" i="3"/>
  <c r="O34" i="2" l="1"/>
  <c r="O34" i="4"/>
  <c r="G40" i="4"/>
  <c r="N40" i="4" s="1"/>
  <c r="N38" i="4"/>
  <c r="I47" i="4"/>
  <c r="J47" i="4" s="1"/>
  <c r="K47" i="4" s="1"/>
  <c r="L47" i="4" s="1"/>
  <c r="O47" i="4" s="1"/>
  <c r="D17" i="5" s="1"/>
  <c r="D47" i="5" s="1"/>
  <c r="N47" i="4"/>
  <c r="O44" i="2"/>
  <c r="B15" i="5" s="1"/>
  <c r="G40" i="3"/>
  <c r="N40" i="3" s="1"/>
  <c r="N38" i="3"/>
  <c r="K40" i="4"/>
  <c r="K41" i="4" s="1"/>
  <c r="K43" i="4" s="1"/>
  <c r="I41" i="2"/>
  <c r="N57" i="4"/>
  <c r="C61" i="4"/>
  <c r="I43" i="3"/>
  <c r="I55" i="3" s="1"/>
  <c r="I40" i="4"/>
  <c r="O38" i="4"/>
  <c r="I41" i="4"/>
  <c r="C29" i="5"/>
  <c r="C28" i="5"/>
  <c r="L40" i="4"/>
  <c r="L41" i="4" s="1"/>
  <c r="L43" i="4" s="1"/>
  <c r="L55" i="4" s="1"/>
  <c r="K40" i="2"/>
  <c r="K41" i="2" s="1"/>
  <c r="K43" i="2" s="1"/>
  <c r="O38" i="2"/>
  <c r="C61" i="3"/>
  <c r="N57" i="3"/>
  <c r="B25" i="5"/>
  <c r="D46" i="5"/>
  <c r="D45" i="5"/>
  <c r="D29" i="5"/>
  <c r="D28" i="5"/>
  <c r="N47" i="3"/>
  <c r="I47" i="3"/>
  <c r="J47" i="3" s="1"/>
  <c r="K47" i="3" s="1"/>
  <c r="L47" i="3" s="1"/>
  <c r="O47" i="3" s="1"/>
  <c r="C17" i="5" s="1"/>
  <c r="C47" i="5" s="1"/>
  <c r="F47" i="5" s="1"/>
  <c r="L38" i="3"/>
  <c r="O34" i="3"/>
  <c r="G40" i="2"/>
  <c r="N40" i="2" s="1"/>
  <c r="N39" i="2" s="1"/>
  <c r="N38" i="2"/>
  <c r="O54" i="4"/>
  <c r="D12" i="5"/>
  <c r="O30" i="4"/>
  <c r="C61" i="2"/>
  <c r="N57" i="2"/>
  <c r="O54" i="3"/>
  <c r="C12" i="5"/>
  <c r="O30" i="3"/>
  <c r="L40" i="2"/>
  <c r="O40" i="2" s="1"/>
  <c r="O39" i="2" s="1"/>
  <c r="L41" i="2"/>
  <c r="L43" i="2" s="1"/>
  <c r="L55" i="2" s="1"/>
  <c r="I47" i="2"/>
  <c r="J47" i="2" s="1"/>
  <c r="K47" i="2" s="1"/>
  <c r="L47" i="2" s="1"/>
  <c r="O47" i="2" s="1"/>
  <c r="B17" i="5" s="1"/>
  <c r="B39" i="5" s="1"/>
  <c r="N47" i="2"/>
  <c r="B13" i="5"/>
  <c r="O57" i="2"/>
  <c r="G41" i="3" l="1"/>
  <c r="C45" i="5"/>
  <c r="F45" i="5" s="1"/>
  <c r="B40" i="5"/>
  <c r="O40" i="4"/>
  <c r="N39" i="4"/>
  <c r="G41" i="2"/>
  <c r="G43" i="2" s="1"/>
  <c r="G55" i="2" s="1"/>
  <c r="B41" i="5"/>
  <c r="C13" i="5"/>
  <c r="O57" i="3"/>
  <c r="L40" i="3"/>
  <c r="O40" i="3" s="1"/>
  <c r="O39" i="3" s="1"/>
  <c r="O38" i="3"/>
  <c r="O57" i="4"/>
  <c r="D13" i="5"/>
  <c r="G43" i="3"/>
  <c r="N41" i="3"/>
  <c r="N43" i="3" s="1"/>
  <c r="O41" i="4"/>
  <c r="O43" i="4" s="1"/>
  <c r="I43" i="4"/>
  <c r="I55" i="4" s="1"/>
  <c r="C41" i="5"/>
  <c r="F41" i="5" s="1"/>
  <c r="C39" i="5"/>
  <c r="C40" i="5"/>
  <c r="C25" i="5"/>
  <c r="O39" i="4"/>
  <c r="I43" i="2"/>
  <c r="I55" i="2" s="1"/>
  <c r="O41" i="2"/>
  <c r="O43" i="2" s="1"/>
  <c r="C46" i="5"/>
  <c r="F46" i="5" s="1"/>
  <c r="N39" i="3"/>
  <c r="B29" i="5"/>
  <c r="B47" i="5"/>
  <c r="B46" i="5"/>
  <c r="B45" i="5"/>
  <c r="B28" i="5"/>
  <c r="D39" i="5"/>
  <c r="D41" i="5"/>
  <c r="D40" i="5"/>
  <c r="D25" i="5"/>
  <c r="G41" i="4"/>
  <c r="N41" i="2" l="1"/>
  <c r="N43" i="2" s="1"/>
  <c r="B21" i="5" s="1"/>
  <c r="B26" i="5" s="1"/>
  <c r="B14" i="5"/>
  <c r="F40" i="5"/>
  <c r="F39" i="5"/>
  <c r="L41" i="3"/>
  <c r="G43" i="4"/>
  <c r="N41" i="4"/>
  <c r="N43" i="4" s="1"/>
  <c r="O55" i="4" s="1"/>
  <c r="N55" i="3"/>
  <c r="C21" i="5"/>
  <c r="C26" i="5" s="1"/>
  <c r="G55" i="3"/>
  <c r="K55" i="3"/>
  <c r="D14" i="5"/>
  <c r="K55" i="2"/>
  <c r="O55" i="2" l="1"/>
  <c r="N55" i="2"/>
  <c r="G55" i="4"/>
  <c r="K55" i="4"/>
  <c r="L43" i="3"/>
  <c r="L55" i="3" s="1"/>
  <c r="O41" i="3"/>
  <c r="O43" i="3" s="1"/>
  <c r="D44" i="5"/>
  <c r="D43" i="5"/>
  <c r="D48" i="5" s="1"/>
  <c r="D42" i="5"/>
  <c r="D49" i="5" s="1"/>
  <c r="D27" i="5"/>
  <c r="B42" i="5"/>
  <c r="B44" i="5"/>
  <c r="B27" i="5"/>
  <c r="B43" i="5"/>
  <c r="B48" i="5" s="1"/>
  <c r="D21" i="5"/>
  <c r="D26" i="5" s="1"/>
  <c r="N55" i="4"/>
  <c r="B49" i="5" l="1"/>
  <c r="C14" i="5"/>
  <c r="O55" i="3"/>
  <c r="C43" i="5" l="1"/>
  <c r="C42" i="5"/>
  <c r="C27" i="5"/>
  <c r="C44" i="5"/>
  <c r="F44" i="5" s="1"/>
  <c r="F43" i="5" l="1"/>
  <c r="C48" i="5"/>
  <c r="F48" i="5" s="1"/>
  <c r="F42" i="5"/>
  <c r="C49" i="5"/>
  <c r="F49" i="5" s="1"/>
</calcChain>
</file>

<file path=xl/sharedStrings.xml><?xml version="1.0" encoding="utf-8"?>
<sst xmlns="http://schemas.openxmlformats.org/spreadsheetml/2006/main" count="1938" uniqueCount="371">
  <si>
    <t>ABNB: the management-implied model</t>
  </si>
  <si>
    <t>Built 11 Sep 2026 by analysis/src/reverse_dcf/mgmt_implied_model.py. Rebuild with: py -3.13 analysis/src/reverse_dcf/mgmt_implied_model.py</t>
  </si>
  <si>
    <t>Question: if what management says is true, what is the stock worth? Three translations of the words into numbers, each on its own sheet:</t>
  </si>
  <si>
    <t xml:space="preserve">  Mgmt_Literal    - the guide at face value (range midpoints, floors as points, buckets at the low end; FY27 = the Feb-2027 guide on management's pattern)</t>
  </si>
  <si>
    <t xml:space="preserve">  Mgmt_Delivered  - the guide plus management's own cushion (revenue +1.8% vs midpoint, nights 1pt above the bucket, FY margin floor +70bp); FY27 = FY26 exit rate, margin flat</t>
  </si>
  <si>
    <t xml:space="preserve">  Mgmt_Ambition   - the 8 Sep 2026 CEO framing (accelerating everywhere, hotels 3x, take rate +20bp in FY27, margin 37%)</t>
  </si>
  <si>
    <t>Valuation      - FY27E exit multiples (EV/EBITDA, P/E, EV/FCF; inputs) and a DCF / reverse DCF on management FCF</t>
  </si>
  <si>
    <t>Street         - consensus as pulled (Bloomberg FA 4 Sep, Zacks 4 Sep, S&amp;P Global 3 Sep) for comparison only</t>
  </si>
  <si>
    <t>Mgmt_Statements- what management is looking at by area, near and mid term, with the hit rate of each line</t>
  </si>
  <si>
    <t>Recon          - Excel recalculated values vs the Python mirror (must be all zeros)</t>
  </si>
  <si>
    <t>Conventions: yellow = input, blue = reported history, black = formula. Every input carries its source in column P. Management is silent on all FY27 lines: FY27 inputs are the analyst's reading of the stated algorithm.</t>
  </si>
  <si>
    <t>Not in this workbook: line-by-line cost build (WS30/31), regional nights (WS10), the team's own forecasts (WS29 bridge), any market-implied case (next step).</t>
  </si>
  <si>
    <t>ABNB management-implied model: Guide literal</t>
  </si>
  <si>
    <t>Range midpoints, floors as points, buckets at their low end; FY27 = the guide management would give in Feb 2027 on its own pattern</t>
  </si>
  <si>
    <t>Yellow = input. Blue = reported history. Black = formula. Price $170.19 (11 Sep 2026). Built by analysis/src/reverse_dcf/mgmt_implied_model.py</t>
  </si>
  <si>
    <t>Line</t>
  </si>
  <si>
    <t>Unit</t>
  </si>
  <si>
    <t>3Q25A</t>
  </si>
  <si>
    <t>4Q25A</t>
  </si>
  <si>
    <t>1Q26A</t>
  </si>
  <si>
    <t>2Q26A</t>
  </si>
  <si>
    <t>3Q26E</t>
  </si>
  <si>
    <t>4Q26E</t>
  </si>
  <si>
    <t>1Q27E</t>
  </si>
  <si>
    <t>2Q27E</t>
  </si>
  <si>
    <t>3Q27E</t>
  </si>
  <si>
    <t>4Q27E</t>
  </si>
  <si>
    <t>FY25A</t>
  </si>
  <si>
    <t>FY26E</t>
  </si>
  <si>
    <t>FY27E</t>
  </si>
  <si>
    <t>Source / note</t>
  </si>
  <si>
    <t>A. INPUTS (yellow = management-derived driver; column P = source)</t>
  </si>
  <si>
    <t>Nights &amp; Seats Booked growth</t>
  </si>
  <si>
    <t>y/y %</t>
  </si>
  <si>
    <t>2Q26 letter: 3Q26 'low double-digit'; 4Q26 not guided (FY 'at least mid teens' revenue implies it); FY27 silent</t>
  </si>
  <si>
    <t>ADR ex-FX growth</t>
  </si>
  <si>
    <t>2Q26 letter: 'moderate increase in ADR due to mix shift and price appreciation'; 1H26 ran +4%</t>
  </si>
  <si>
    <t>ADR FX effect</t>
  </si>
  <si>
    <t>pp</t>
  </si>
  <si>
    <t>WS05/WS29 EUR path fit; management does not guide ADR FX beyond 'significantly lower' (1Q26)</t>
  </si>
  <si>
    <t>Implied take rate, relative change</t>
  </si>
  <si>
    <t>2Q26: 'relatively flat compared to 2025' after customer incentives; +1.5% = +20bp (Ambition only)</t>
  </si>
  <si>
    <t>Revenue FX after hedging</t>
  </si>
  <si>
    <t>2Q26 letter: 3Q26 'approximate three percentage point FX tailwind after factoring in our hedging program'; later quarters WS29 fit</t>
  </si>
  <si>
    <t>Timing / other residual (revenue vs GBV x take rate)</t>
  </si>
  <si>
    <t>calibrated so 3Q26 revenue hits the guide midpoint (Literal) or midpoint +1.8% (Delivered); RNPL book-vs-stay timing</t>
  </si>
  <si>
    <t>Adj. EBITDA margin change</t>
  </si>
  <si>
    <t>y/y pts</t>
  </si>
  <si>
    <t>3Q26: 'down slightly compared to Q3 2025' (50.1%); 4Q26 solved so FY26 = floor (or floor + cushion); FY27 solved for the FY27 margin in row 1</t>
  </si>
  <si>
    <t>SBC growth</t>
  </si>
  <si>
    <t>4Q25 letter: 'growth rate of SBC and headcount will be lower than 2025' (FY25 +13.1% letters basis); 1H26 +14.7% so H2 ~+10%</t>
  </si>
  <si>
    <t>D&amp;A</t>
  </si>
  <si>
    <t>% revenue</t>
  </si>
  <si>
    <t>0.6-0.8% of revenue since 2023</t>
  </si>
  <si>
    <t>Interest income</t>
  </si>
  <si>
    <t>$M</t>
  </si>
  <si>
    <t>$12.1bn cash + ST investments; 2Q26 $183M; falling rates</t>
  </si>
  <si>
    <t>Interest expense</t>
  </si>
  <si>
    <t>$2.5bn senior notes issued Mar 2026 at 4.40 / 4.65 / 5.25%</t>
  </si>
  <si>
    <t>Effective tax rate</t>
  </si>
  <si>
    <t>%</t>
  </si>
  <si>
    <t>2Q26 letter 'high teens' FY26; OBBBA long-term 'mid-to-high teens' (2Q26 call); 1H26 17.1%</t>
  </si>
  <si>
    <t>Share repurchases</t>
  </si>
  <si>
    <t>1H26 $2,139M; $3.4bn authorisation remaining after 2Q26 -&gt; a new authorisation is needed by ~2Q27 for this path</t>
  </si>
  <si>
    <t>Average repurchase price</t>
  </si>
  <si>
    <t>$</t>
  </si>
  <si>
    <t>11 Sep 2026 close $170.19 drifting +1.2%/q</t>
  </si>
  <si>
    <t>Net RSU issuance after withholding</t>
  </si>
  <si>
    <t>M shares</t>
  </si>
  <si>
    <t>37.8M RSUs outstanding at 30 Jun 2026; ~10M/yr vesting less 35% withheld</t>
  </si>
  <si>
    <t>FCF / adj. EBITDA (seasonal)</t>
  </si>
  <si>
    <t>x</t>
  </si>
  <si>
    <t>prior-year quarter ratios 3Q25 0.66x, 4Q25 0.66x, 1Q26 3.28x, 2Q26 0.99x (the float builds in H1, unwinds in H2); annual FY24 1.14x, FY25 1.07x, LTM 1.05x; set so FY26 ~1.03x and FY27 ~1.01x as cash taxes rise, interest income falls and RNPL flattens unearned fees</t>
  </si>
  <si>
    <t>B. OPERATING BUILD</t>
  </si>
  <si>
    <t>Nights &amp; Seats Booked</t>
  </si>
  <si>
    <t>M</t>
  </si>
  <si>
    <t>letters</t>
  </si>
  <si>
    <t>Gross Booking Value</t>
  </si>
  <si>
    <t>letters / Bloomberg FA (unrounded 3Q25, 1Q26, 2Q26)</t>
  </si>
  <si>
    <t>ADR (GBV / nights)</t>
  </si>
  <si>
    <t>Revenue</t>
  </si>
  <si>
    <t>Implied take rate</t>
  </si>
  <si>
    <t>FY25 13.41%; guided 'relatively flat' for FY26</t>
  </si>
  <si>
    <t>Adj. EBITDA margin</t>
  </si>
  <si>
    <t>Adj. EBITDA</t>
  </si>
  <si>
    <t>Stock-based compensation</t>
  </si>
  <si>
    <t>letters (adj. EBITDA reconciliation)</t>
  </si>
  <si>
    <t>Bloomberg FA / 10-Q</t>
  </si>
  <si>
    <t>Operating income (GAAP; adj. EBITDA less SBC less D&amp;A)</t>
  </si>
  <si>
    <t>history backed out of pretax income so the P&amp;L ties to reported net income; other add-backs sit here</t>
  </si>
  <si>
    <t>Bloomberg FA</t>
  </si>
  <si>
    <t>Other income (expense), net</t>
  </si>
  <si>
    <t>Bloomberg FA; zero forecast</t>
  </si>
  <si>
    <t>Pretax income</t>
  </si>
  <si>
    <t>Income tax</t>
  </si>
  <si>
    <t>letters; 2Q26 includes a $77M prior-year benefit</t>
  </si>
  <si>
    <t>Net income (GAAP)</t>
  </si>
  <si>
    <t>Diluted weighted-average shares</t>
  </si>
  <si>
    <t>10-Q; forecast = prior less buyback / price plus net RSU issuance</t>
  </si>
  <si>
    <t>Diluted EPS (GAAP)</t>
  </si>
  <si>
    <t>Street 'adjusted' EPS for ABNB is GAAP-basis (Bloomberg FA 2Q26 1.37 = GAAP)</t>
  </si>
  <si>
    <t>Free cash flow</t>
  </si>
  <si>
    <t>letters; forecast = adj. EBITDA x conversion (annual-grade; quarterly seasonality of the float is not modelled)</t>
  </si>
  <si>
    <t>RSU tax withholding (cash)</t>
  </si>
  <si>
    <t>35% of SBC (FY25 $561M / $1,581M)</t>
  </si>
  <si>
    <t>Net cash ex float (cash + ST investments less notes), period end</t>
  </si>
  <si>
    <t>10-Q; funds held for clients excluded; forecast = prior + FCF - buybacks - withholding</t>
  </si>
  <si>
    <t>C. GROWTH AND CHECKS</t>
  </si>
  <si>
    <t>Nights growth</t>
  </si>
  <si>
    <t>GBV growth</t>
  </si>
  <si>
    <t>ADR growth (reported)</t>
  </si>
  <si>
    <t>Revenue growth</t>
  </si>
  <si>
    <t>Adj. EBITDA growth</t>
  </si>
  <si>
    <t>EPS growth</t>
  </si>
  <si>
    <t>Take rate change</t>
  </si>
  <si>
    <t>Margin change</t>
  </si>
  <si>
    <t>3Q26 revenue vs guide $4,690-4,770M</t>
  </si>
  <si>
    <t>FY26 revenue growth vs 'at least mid teens' (&gt;=15%)</t>
  </si>
  <si>
    <t>FY26 adj. EBITDA margin vs 'at least 35.5%'</t>
  </si>
  <si>
    <t>FY26 take rate vs FY25 13.41% ('relatively flat')</t>
  </si>
  <si>
    <t>3Q26 margin vs 3Q25 50.1% ('down slightly')</t>
  </si>
  <si>
    <t>Buybacks 3Q26-2Q27 vs $3.4bn remaining authorisation</t>
  </si>
  <si>
    <t>ABNB management-implied model: Guide as delivered</t>
  </si>
  <si>
    <t>Guide plus management's own cushion: revenue +1.8% vs midpoint, nights 1pt above the bucket top, FY margin floor +70bp; FY27 holds the FY26 exit rate with margin flat (reinvest-the-efficiencies rule)</t>
  </si>
  <si>
    <t>ABNB management-implied model: Management ambition</t>
  </si>
  <si>
    <t>The 8 Sep 2026 CEO framing: 'almost every market is accelerating', hotels 3x homes, India +60%, sponsored listings 'a straight shot to $1bn'; take rate +20bp in FY27, margin drifting to 37%</t>
  </si>
  <si>
    <t>Management-implied target prices (12-month, FY27E exit)</t>
  </si>
  <si>
    <t>Target = (multiple x FY27E metric + end-FY27 net cash) / end-FY27 diluted shares; P/E lens uses FY27E GAAP EPS directly. Multiples are inputs (yellow).</t>
  </si>
  <si>
    <t>Share price</t>
  </si>
  <si>
    <t>11 Sep 2026 close</t>
  </si>
  <si>
    <t>Diluted shares now (M)</t>
  </si>
  <si>
    <t>2Q26 diluted weighted average</t>
  </si>
  <si>
    <t>Net cash ex float now ($M)</t>
  </si>
  <si>
    <t>30 Jun 2026: $12,069M cash + ST investments less $2,476M notes</t>
  </si>
  <si>
    <t>Market cap ($M)</t>
  </si>
  <si>
    <t>Enterprise value ($M)</t>
  </si>
  <si>
    <t>FY27E metric</t>
  </si>
  <si>
    <t>Guide literal</t>
  </si>
  <si>
    <t>Guide as delivered</t>
  </si>
  <si>
    <t>Management ambition</t>
  </si>
  <si>
    <t>Street (Zacks / S&amp;P, 3-4 Sep 2026)</t>
  </si>
  <si>
    <t>Revenue ($M)</t>
  </si>
  <si>
    <t>Zacks $15,730M / S&amp;P $15,760M</t>
  </si>
  <si>
    <t>Adj. EBITDA ($M)</t>
  </si>
  <si>
    <t>Adj. EBITDA margin (%)</t>
  </si>
  <si>
    <t>GAAP EPS ($)</t>
  </si>
  <si>
    <t>Zacks $6.02 / S&amp;P $6.14</t>
  </si>
  <si>
    <t>FCF ($M)</t>
  </si>
  <si>
    <t>SBC ($M)</t>
  </si>
  <si>
    <t>Net cash, end-FY27 ($M)</t>
  </si>
  <si>
    <t>Diluted shares, 4Q27 (M)</t>
  </si>
  <si>
    <t>FY26E revenue ($M)</t>
  </si>
  <si>
    <t>Zacks $14,100M / S&amp;P $14,160M</t>
  </si>
  <si>
    <t>FY26E adj. EBITDA ($M)</t>
  </si>
  <si>
    <t>FY26E GAAP EPS ($)</t>
  </si>
  <si>
    <t>Zacks $5.23 / S&amp;P $5.28</t>
  </si>
  <si>
    <t>What $170.19 pays for each case today</t>
  </si>
  <si>
    <t>EV / FY26E adj. EBITDA (x)</t>
  </si>
  <si>
    <t>EV / FY27E adj. EBITDA (x)</t>
  </si>
  <si>
    <t>P / FY26E EPS (x)</t>
  </si>
  <si>
    <t>P / FY27E EPS (x)</t>
  </si>
  <si>
    <t>EV / FY27E FCF (x)</t>
  </si>
  <si>
    <t>FY27E FCF yield on market cap (%)</t>
  </si>
  <si>
    <t>Multiples (inputs)</t>
  </si>
  <si>
    <t>Low</t>
  </si>
  <si>
    <t>Mid</t>
  </si>
  <si>
    <t>High</t>
  </si>
  <si>
    <t>Rationale</t>
  </si>
  <si>
    <t>EV / FY27E adj. EBITDA</t>
  </si>
  <si>
    <t>WS12 recommendation: ABNB's own multiple vs growth 2023-26, 19-name cross-section, fade DCF all land 13.5-18.5x; today 16-18x</t>
  </si>
  <si>
    <t>P / FY27E GAAP EPS</t>
  </si>
  <si>
    <t>ABNB at $170 = 28x Street FY27 EPS; 2023-26 LTM GAAP P/E 25-40x; BKNG 16x, NFLX 21x, UBER 18x NTM</t>
  </si>
  <si>
    <t>EV / FY27E FCF</t>
  </si>
  <si>
    <t>WS12 haircut set 11.3/14.3/17.3x lifted for FCF running 2-7% above adj. EBITDA; today ~16x FY27E</t>
  </si>
  <si>
    <t>Target price ($ / share, FY27E exit)</t>
  </si>
  <si>
    <t>Street FY27 (P/E lens only)</t>
  </si>
  <si>
    <t>Upside vs price, Delivered case</t>
  </si>
  <si>
    <t>EV / FY27E adj. EBITDA x Low</t>
  </si>
  <si>
    <t>EV / FY27E adj. EBITDA x Mid</t>
  </si>
  <si>
    <t>EV / FY27E adj. EBITDA x High</t>
  </si>
  <si>
    <t>P / FY27E GAAP EPS x Low</t>
  </si>
  <si>
    <t>P / FY27E GAAP EPS x Mid</t>
  </si>
  <si>
    <t>P / FY27E GAAP EPS x High</t>
  </si>
  <si>
    <t>EV / FY27E FCF x Low</t>
  </si>
  <si>
    <t>EV / FY27E FCF x Mid</t>
  </si>
  <si>
    <t>EV / FY27E FCF x High</t>
  </si>
  <si>
    <t>Average of the three mid multiples</t>
  </si>
  <si>
    <t>Average of all nine cells</t>
  </si>
  <si>
    <t>DCF on management FCF (Python-computed values, 10-year fade to 3%, WACC 10%; not live formulas)</t>
  </si>
  <si>
    <t>FY27E FCF ($M)</t>
  </si>
  <si>
    <t>FY27E FCF growth (%)</t>
  </si>
  <si>
    <t>DCF value/share today, FY28+ growth starting at the FY27 rate (capped 0-20%) fading to 3% ($)</t>
  </si>
  <si>
    <t>Reverse DCF: FY28-36 starting growth the $170.19 EV requires, reported FCF (%)</t>
  </si>
  <si>
    <t>FY27E SBC-adjusted FCF ($M)</t>
  </si>
  <si>
    <t>Reverse DCF: starting growth required on SBC-adjusted FCF (%)</t>
  </si>
  <si>
    <t>Consensus as pulled (comparison column, not an input)</t>
  </si>
  <si>
    <t>Item</t>
  </si>
  <si>
    <t>Value</t>
  </si>
  <si>
    <t>Source</t>
  </si>
  <si>
    <t>3Q26E revenue ($M)</t>
  </si>
  <si>
    <t>Bloomberg FA consensus PDF (OneDrive, pulled 4 Sep 2026); Zacks $4,740M (7 est.)</t>
  </si>
  <si>
    <t>3Q26E nights (M)</t>
  </si>
  <si>
    <t>Bloomberg FA; +11.1% y/y</t>
  </si>
  <si>
    <t>3Q26E GBV ($M)</t>
  </si>
  <si>
    <t>Bloomberg FA; +15.1%</t>
  </si>
  <si>
    <t>3Q26E ADR ($)</t>
  </si>
  <si>
    <t>Bloomberg FA; +3.3%</t>
  </si>
  <si>
    <t>3Q26E take rate (%)</t>
  </si>
  <si>
    <t>3Q26E adj. EBITDA ($M)</t>
  </si>
  <si>
    <t>Bloomberg FA; margin 49.7%</t>
  </si>
  <si>
    <t>3Q26E FCF ($M)</t>
  </si>
  <si>
    <t>3Q26E diluted EPS ($)</t>
  </si>
  <si>
    <t>Bloomberg FA 2.86-2.88; Zacks 2.87 (11 est., 2.52-3.28)</t>
  </si>
  <si>
    <t>4Q26E revenue ($M)</t>
  </si>
  <si>
    <t>Bloomberg FA; Zacks $3,200M (10 est., 3,050-3,700)</t>
  </si>
  <si>
    <t>4Q26E nights (M)</t>
  </si>
  <si>
    <t>Bloomberg FA; +10.1%</t>
  </si>
  <si>
    <t>4Q26E GBV ($M)</t>
  </si>
  <si>
    <t>Bloomberg FA; +12.7%</t>
  </si>
  <si>
    <t>4Q26E ADR ($)</t>
  </si>
  <si>
    <t>Bloomberg FA; +2.3%</t>
  </si>
  <si>
    <t>4Q26E adj. EBITDA ($M)</t>
  </si>
  <si>
    <t>Bloomberg FA; margin 29.0%</t>
  </si>
  <si>
    <t>4Q26E diluted EPS ($)</t>
  </si>
  <si>
    <t>Bloomberg FA; Zacks 0.82</t>
  </si>
  <si>
    <t>Zacks $14,100M (8 est.) / S&amp;P Global $14,160M (43 analysts)</t>
  </si>
  <si>
    <t>FY26E EPS ($)</t>
  </si>
  <si>
    <t>Zacks 5.23 / S&amp;P 5.28</t>
  </si>
  <si>
    <t>FY26E FCF ($M)</t>
  </si>
  <si>
    <t>S&amp;P Global via stockanalysis</t>
  </si>
  <si>
    <t>FY27E revenue ($M)</t>
  </si>
  <si>
    <t>Zacks $15,730M (13 est., 14,990-16,290) / S&amp;P $15,760M</t>
  </si>
  <si>
    <t>FY27E EPS ($)</t>
  </si>
  <si>
    <t>Zacks 6.02 (5.35-6.80) / S&amp;P 6.14</t>
  </si>
  <si>
    <t>Mean price target ($)</t>
  </si>
  <si>
    <t>46 analysts, S&amp;P Global, 3 Sep 2026; range 125-220; yfinance 11 Sep mean 182.1, median 185</t>
  </si>
  <si>
    <t>Share price ($)</t>
  </si>
  <si>
    <t>11 Sep 2026</t>
  </si>
  <si>
    <t>What management is looking at, by area: near term (3Q26 / FY26), mid term (FY27+), how it enters the Delivered case, and how reliable that line has been</t>
  </si>
  <si>
    <t>Area</t>
  </si>
  <si>
    <t>Near term: what they said (3Q26 / FY26)</t>
  </si>
  <si>
    <t>Mid term: what they said (FY27 and beyond)</t>
  </si>
  <si>
    <t>Number used (Delivered case)</t>
  </si>
  <si>
    <t>Track record of this line</t>
  </si>
  <si>
    <t>3Q26 'low double-digit growth'; FY26 'accelerated pace of Nights and Seats Booked we've observed'; 2Q26 +10.3% with every region up, expansion markets ~2x core, first-time bookers +11% (highest in four years), app nights +23% = 64% of total</t>
  </si>
  <si>
    <t>No number. 8 Sep: 'almost every market is accelerating', 'four of the five countries [70% of the business] are accelerating', India +60%; core business 'could probably be double the size'</t>
  </si>
  <si>
    <t>3Q26 +11.5%, 4Q26 +10.5%, FY27 +10.0%</t>
  </si>
  <si>
    <t>Bucket guides: 3 of 3 since 4Q25 printed ABOVE the range (+1 to +5pts). Directional guides 92% met (n=13)</t>
  </si>
  <si>
    <t>2Q26 letter p.6; 2Q26 call; Communacopia 8 Sep 2026</t>
  </si>
  <si>
    <t>ADR</t>
  </si>
  <si>
    <t>3Q26 'moderate increase in ADR due to mix shift and price appreciation'; 2Q26 +5% (+4% ex-FX), 'noticeable strength in North America and Europe'; bedroom nights +12% vs nights +10% (larger homes keep growing fastest)</t>
  </si>
  <si>
    <t>AI pricing model 'one of the biggest single levers for growth', 'many multiples bigger than RNPL' -&gt; aimed at affordability, i.e. it argues for LOWER host prices over time, not higher; ADR ex-FX above ~3% is mix, not price</t>
  </si>
  <si>
    <t>ex-FX +3.5% 3Q26, +3.0% thereafter; FX +0.3 / -0.4 / -0.4 / 0 / +0.7 / 0 pp</t>
  </si>
  <si>
    <t>ADR floors/points 16 of 18 met or beaten</t>
  </si>
  <si>
    <t>2Q26 letter p.10; 2Q26 call (pricing answer)</t>
  </si>
  <si>
    <t>GBV</t>
  </si>
  <si>
    <t>3Q26 'mid teens' (nights low double digits + moderate ADR); 2Q26 +16% (+15% ex-FX); RNPL &gt;20% of GBV, eligibility expanded in July</t>
  </si>
  <si>
    <t>'approaching $100 billion in GBV' (8 Sep); FY25 was $91.3bn, FY26 lands ~$106bn in the Delivered case</t>
  </si>
  <si>
    <t>3Q26 +15.4%, 4Q26 +13.4%, FY27 +13.3%</t>
  </si>
  <si>
    <t>Bucket guides beaten by 4-6pts in all three cases since 4Q25</t>
  </si>
  <si>
    <t>2Q26 letter; Communacopia</t>
  </si>
  <si>
    <t>Take rate / monetisation</t>
  </si>
  <si>
    <t>FY26 'relatively flat compared to 2025' (13.41%) after RNPL timing and 'higher customer incentives related to new businesses'; 'absent these incentives... slightly higher'; 3Q26 'relatively in-line'; single fee to be completed by year-end (half of listings already)</t>
  </si>
  <si>
    <t>Sponsored listings 'a pretty easy straight shot to $1 billion incremental high margin revenue' (8 Sep, undated); travel insurance 'very high margin... does quite well'; advertising deferred behind AI search</t>
  </si>
  <si>
    <t>flat in Literal/Delivered; +20bp FY27 in Ambition</t>
  </si>
  <si>
    <t>The weak line: 59% kept (n=17). FY25 promised +20bp, printed -16bp. 1Q26 'lift full-year take rate' withdrawn at 2Q26</t>
  </si>
  <si>
    <t>2Q26 call prepared remarks; 31a S165/S166/S110</t>
  </si>
  <si>
    <t>Cancellations / RNPL</t>
  </si>
  <si>
    <t>Not disclosed. Nights and GBV are reported net of cancellations. RNPL defers payment to near check-in; 2Q26: 'absent RNPL... unearned fees would have grown y/y'; 1Q26 letter predicted unearned fees higher y/y in 3Q26 (forward-testable on 5 Nov). 1Q26: Middle East cancellations cost ~1pt of nights</t>
  </si>
  <si>
    <t>Nothing. The team's own RNPL ledger (overnight2 D) models a -0.1 to -1.4pt cancellation drag on 3Q26/4Q26 nights; management has never sized it</t>
  </si>
  <si>
    <t>Inside the -0.6 to -1.1pp timing residual</t>
  </si>
  <si>
    <t>n/a (never guided)</t>
  </si>
  <si>
    <t>2Q26 call CFO; 1Q26 letter; docs/overnight2/SYNTHESIS.md</t>
  </si>
  <si>
    <t>3Q26 $4.69-4.77bn (+15-17%) incl. ~3pp FX after hedging; FY26 'at least mid teens' (raised from 'low double digits' in Feb and 'low-to-mid teens' in May)</t>
  </si>
  <si>
    <t>No FY27 number ('I'm not going to give you a specific guide for 2027 and beyond'). Pattern: Feb guide is a floor, raised twice, printed 1-3pp above</t>
  </si>
  <si>
    <t>3Q26 $4,815M (+17.6%), 4Q26 $3,131M (+12.7%), FY26 $14.23bn (+16.3%), FY27 $15.99bn (+12.4%)</t>
  </si>
  <si>
    <t>19 of 19 quarterly ranges beaten at the midpoint (median +2.5%, last eight +1.8%); 15 of 19 above the top</t>
  </si>
  <si>
    <t>2Q26 letter p.6; 02_guidance_ledger.csv</t>
  </si>
  <si>
    <t>FX</t>
  </si>
  <si>
    <t>~3pp tailwind to 3Q26 revenue after hedging (was 0 / +3 / +4 in 4Q25-2Q26); ADR FX 'significantly lower in Q2 than Q1'</t>
  </si>
  <si>
    <t>Silent; hedging programme unchanged. Consensus EUR path turns FX to a -0.4 to -1.0pp headwind from 4Q26</t>
  </si>
  <si>
    <t>WS29 schedule</t>
  </si>
  <si>
    <t>FX statements 100% kept but they only ever guide one quarter</t>
  </si>
  <si>
    <t>2Q26 letter; 28_fx-hedge-disclosures.md</t>
  </si>
  <si>
    <t>FY26 'at least 35.5%' (raised from 'stable' -&gt; '&gt;=35%' -&gt; '&gt;=35.5%'); 3Q26 'down slightly compared to Q3 2025' (50.1%) 'due to timing of investments'; 2Q26 printed 35.0% (+1.3pts) on ops &amp; support and product-dev efficiency, offset by S&amp;M</t>
  </si>
  <si>
    <t>'There's a relative floor in our ability to continue to invest against that' (2Q26); 'we basically have remained pretty steady, 35% margins' (8 Sep); rule: find variable-cost efficiencies every year and reinvest most of them</t>
  </si>
  <si>
    <t>3Q26 50.0%, 4Q26 30.8%, FY26 36.2%, FY27 36.2%</t>
  </si>
  <si>
    <t>Total-margin statements 91% kept (n=43). Floors beaten by +140bp (FY24), +60bp (FY25). Floor becomes a point ('approximately X') at the Q3 print</t>
  </si>
  <si>
    <t>2Q26 letter; 31a note</t>
  </si>
  <si>
    <t>Cost lines</t>
  </si>
  <si>
    <t>Cost of revenue 'scale somewhat linearly'; ops &amp; support cost per booking -16% y/y (AI resolves ~45% of tickets); product dev: 'we don't need to grow our head count at levels that we did in the past'; S&amp;M: 'where you will see some incremental investment'; AI spend: guidance 'assumes a material increase' (unsized)</t>
  </si>
  <si>
    <t>No FY27 line has a number. Brand marketing is fixed per market ('surgical topper' for performance); hotels build-out unbudgeted; services are partnerships ('we do not see a big incurring of cost')</t>
  </si>
  <si>
    <t>Not modelled line by line here (margin is the policy variable per 31a); WS30/31 hold the line build</t>
  </si>
  <si>
    <t>Ops &amp; support 100% kept (n=13); brand marketing 63% (n=35); product dev 60%; SBC 40%</t>
  </si>
  <si>
    <t>31a_mgmt-margin-statements.md</t>
  </si>
  <si>
    <t>SBC / share count</t>
  </si>
  <si>
    <t>FY26 SBC growth 'lower than 2025'; 1H26 +14.7%; 37.8M RSUs + 5.7M options outstanding; diluted WA 597M in 2Q26 (-4.6% y/y)</t>
  </si>
  <si>
    <t>Silent; the SBC-equals-headcount promise was withdrawn at 4Q25</t>
  </si>
  <si>
    <t>SBC +10% H2-26, +9% FY27; shares -4.5M/q net</t>
  </si>
  <si>
    <t>SBC guides 40% kept (n=5)</t>
  </si>
  <si>
    <t>4Q25 letter; 2Q26 10-Q</t>
  </si>
  <si>
    <t>Capital return</t>
  </si>
  <si>
    <t>$1.1bn repurchased in 2Q26, $2.1bn in 1H26; $3.4bn authorisation remaining (2Q26 call); 'returning capital to shareholders remains a core component'</t>
  </si>
  <si>
    <t>Nothing beyond the authorisation; at the current pace it is exhausted by ~2Q27, so a new programme is the likely 4Q26/1Q27 announcement</t>
  </si>
  <si>
    <t>$1,050M/q through FY27 ($4.2bn/yr)</t>
  </si>
  <si>
    <t>FY24 $3.4bn, FY25 $3.8bn delivered; never guided</t>
  </si>
  <si>
    <t>2Q26 call CFO; 10-Q</t>
  </si>
  <si>
    <t>Tax</t>
  </si>
  <si>
    <t>FY26 effective tax rate 'high teens' (FY25 20.0%; 1H26 17.1% incl. a $77M prior-year benefit)</t>
  </si>
  <si>
    <t>OBBBA long-term effective rate 'mid-to-high teens' (2Q26 call)</t>
  </si>
  <si>
    <t>18% throughout</t>
  </si>
  <si>
    <t>Tax statements 33% kept (n=3) but the FY26 direction is landing</t>
  </si>
  <si>
    <t>1Q26 / 2Q26 letters; 2Q26 call</t>
  </si>
  <si>
    <t>New businesses: hotels</t>
  </si>
  <si>
    <t>'Single-digit percentage of nights', growing ~3x faster than homes; 35% of first-time hotel guests come back to book a home; supply outreach expanded to top-20 cities; 'we are absolutely going to be stepping on the gas'</t>
  </si>
  <si>
    <t>'This other business that's, like, 10x larger' (8 Sep); 'international expansion of hotels... $ billions incremental revenue... nearly adjacent' (2Q26 horizon 2)</t>
  </si>
  <si>
    <t>Inside the nights growth (no separate line: management gives no hotel nights or revenue figure)</t>
  </si>
  <si>
    <t>New-business cost claims: 'not cost very much' (2Q24) missed by ~$200m in FY25</t>
  </si>
  <si>
    <t>2Q26 call; Communacopia</t>
  </si>
  <si>
    <t>New businesses: services, experiences, cars</t>
  </si>
  <si>
    <t>Services expanded May 2026 (groceries, car rental, airport pickup, luggage); Resort Passes; experiences supply +80%, bookings accelerating on a small base; car rentals 'one of the biggest sellers... at one point'</t>
  </si>
  <si>
    <t>Horizon 3, 'multi-year', 'not this year' for the 1-10-many industrialisation; 'every month you'll see an acceleration in new verticals launching'</t>
  </si>
  <si>
    <t>Zero incremental revenue in Literal/Delivered; the +20bp FY27 take rate in Ambition is the only place it enters</t>
  </si>
  <si>
    <t>Multi-year claims 48% kept (n=31); Chesky 57% (n=21)</t>
  </si>
  <si>
    <t>AI</t>
  </si>
  <si>
    <t>Customer service: ~45% of tickets AI-resolved in 50+ languages, cost per booking -16%; AI search in test on a small share of traffic, expanding through the year; 'ship 80% more features than a year ago'; guidance assumes a 'material increase' in AI spend; 'we are not buying up a whole bunch of GPUs'</t>
  </si>
  <si>
    <t>'The next 18 months to 24 months... a massive shift from enterprise to consumer' AI; full trip-planning agent within ~18 months; sponsored listings gated behind AI search</t>
  </si>
  <si>
    <t>In the margin floor; no separate line</t>
  </si>
  <si>
    <t>Support-cost claim landed; engineering-productivity claim (+30%, since 1Q23) has never shown in a filed number</t>
  </si>
  <si>
    <t>2Q26 call; 31a section (d); Communacopia</t>
  </si>
  <si>
    <t>Regulation</t>
  </si>
  <si>
    <t>Not in guidance. 2Q26 letter: usual risk-factor language only</t>
  </si>
  <si>
    <t>Nothing</t>
  </si>
  <si>
    <t>Zero; the team's regulatory Monte Carlo (PR #15) is the only quantification</t>
  </si>
  <si>
    <t>n/a</t>
  </si>
  <si>
    <t>regulatory package, PR #19</t>
  </si>
  <si>
    <t>Excel (recalculated) vs Python mirror; max abs diff:</t>
  </si>
  <si>
    <t>scenario</t>
  </si>
  <si>
    <t>period</t>
  </si>
  <si>
    <t>line</t>
  </si>
  <si>
    <t>excel</t>
  </si>
  <si>
    <t>python</t>
  </si>
  <si>
    <t>diff</t>
  </si>
  <si>
    <t>Literal</t>
  </si>
  <si>
    <t>3Q26</t>
  </si>
  <si>
    <t>nights</t>
  </si>
  <si>
    <t>gbv</t>
  </si>
  <si>
    <t>adr</t>
  </si>
  <si>
    <t>rev</t>
  </si>
  <si>
    <t>take</t>
  </si>
  <si>
    <t>margin</t>
  </si>
  <si>
    <t>ebitda</t>
  </si>
  <si>
    <t>sbc</t>
  </si>
  <si>
    <t>da</t>
  </si>
  <si>
    <t>opinc</t>
  </si>
  <si>
    <t>pretax</t>
  </si>
  <si>
    <t>tax</t>
  </si>
  <si>
    <t>ni</t>
  </si>
  <si>
    <t>sh</t>
  </si>
  <si>
    <t>eps</t>
  </si>
  <si>
    <t>fcf</t>
  </si>
  <si>
    <t>netcash</t>
  </si>
  <si>
    <t>4Q26</t>
  </si>
  <si>
    <t>1Q27</t>
  </si>
  <si>
    <t>2Q27</t>
  </si>
  <si>
    <t>3Q27</t>
  </si>
  <si>
    <t>4Q27</t>
  </si>
  <si>
    <t>FY26</t>
  </si>
  <si>
    <t>FY27</t>
  </si>
  <si>
    <t>Delivered</t>
  </si>
  <si>
    <t>Ambition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</si>
</sst>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i/>
      <sz val="11"/>
      <color rgb="FF808080"/>
      <name val="Calibri"/>
    </font>
    <font>
      <b/>
      <sz val="11"/>
      <name val="Calibri"/>
    </font>
    <font>
      <sz val="11"/>
      <color rgb="FF0000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0" borderId="0" xfId="0" applyFont="1"/>
    <xf numFmtId="164" fontId="0" fillId="0" borderId="0" xfId="0" applyNumberFormat="1"/>
    <xf numFmtId="164" fontId="0" fillId="3" borderId="0" xfId="0" applyNumberFormat="1" applyFill="1"/>
    <xf numFmtId="3" fontId="0" fillId="0" borderId="0" xfId="0" applyNumberFormat="1"/>
    <xf numFmtId="3" fontId="0" fillId="3" borderId="0" xfId="0" applyNumberFormat="1" applyFill="1"/>
    <xf numFmtId="2" fontId="0" fillId="0" borderId="0" xfId="0" applyNumberFormat="1"/>
    <xf numFmtId="2" fontId="0" fillId="3" borderId="0" xfId="0" applyNumberFormat="1" applyFill="1"/>
    <xf numFmtId="3" fontId="5" fillId="0" borderId="0" xfId="0" applyNumberFormat="1" applyFont="1"/>
    <xf numFmtId="0" fontId="0" fillId="3" borderId="0" xfId="0" applyFill="1"/>
    <xf numFmtId="0" fontId="5" fillId="0" borderId="0" xfId="0" applyFont="1"/>
    <xf numFmtId="1" fontId="0" fillId="0" borderId="0" xfId="0" applyNumberFormat="1"/>
    <xf numFmtId="165" fontId="0" fillId="0" borderId="0" xfId="0" applyNumberFormat="1"/>
    <xf numFmtId="0" fontId="0" fillId="0" borderId="0" xfId="0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4.4" x14ac:dyDescent="0.3"/>
  <cols>
    <col min="1" max="1" width="160" customWidth="1"/>
  </cols>
  <sheetData>
    <row r="1" spans="1:1" ht="18" customHeight="1" x14ac:dyDescent="0.35">
      <c r="A1" s="1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15" width="10" customWidth="1"/>
    <col min="16" max="16" width="120" customWidth="1"/>
  </cols>
  <sheetData>
    <row r="1" spans="1:16" ht="17.399999999999999" customHeight="1" x14ac:dyDescent="0.35">
      <c r="A1" s="2" t="s">
        <v>12</v>
      </c>
    </row>
    <row r="2" spans="1:16" x14ac:dyDescent="0.3">
      <c r="A2" s="3" t="s">
        <v>13</v>
      </c>
    </row>
    <row r="3" spans="1:16" x14ac:dyDescent="0.3">
      <c r="A3" s="3" t="s">
        <v>14</v>
      </c>
    </row>
    <row r="5" spans="1:16" x14ac:dyDescent="0.3">
      <c r="A5" s="4" t="s">
        <v>15</v>
      </c>
      <c r="B5" s="5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  <c r="O5" s="6" t="s">
        <v>29</v>
      </c>
      <c r="P5" s="4" t="s">
        <v>30</v>
      </c>
    </row>
    <row r="6" spans="1:16" x14ac:dyDescent="0.3">
      <c r="A6" s="7" t="s">
        <v>31</v>
      </c>
    </row>
    <row r="7" spans="1:16" x14ac:dyDescent="0.3">
      <c r="A7" t="s">
        <v>32</v>
      </c>
      <c r="B7" t="s">
        <v>33</v>
      </c>
      <c r="C7" s="8"/>
      <c r="D7" s="8"/>
      <c r="E7" s="8"/>
      <c r="F7" s="8"/>
      <c r="G7" s="9">
        <v>10</v>
      </c>
      <c r="H7" s="9">
        <v>8.5</v>
      </c>
      <c r="I7" s="9">
        <v>9</v>
      </c>
      <c r="J7" s="9">
        <v>9</v>
      </c>
      <c r="K7" s="9">
        <v>9</v>
      </c>
      <c r="L7" s="9">
        <v>9</v>
      </c>
      <c r="M7" s="8"/>
      <c r="N7" s="8"/>
      <c r="O7" s="8"/>
      <c r="P7" s="3" t="s">
        <v>34</v>
      </c>
    </row>
    <row r="8" spans="1:16" x14ac:dyDescent="0.3">
      <c r="A8" t="s">
        <v>35</v>
      </c>
      <c r="B8" t="s">
        <v>33</v>
      </c>
      <c r="C8" s="8"/>
      <c r="D8" s="8"/>
      <c r="E8" s="8"/>
      <c r="F8" s="8"/>
      <c r="G8" s="9">
        <v>3</v>
      </c>
      <c r="H8" s="9">
        <v>2.5</v>
      </c>
      <c r="I8" s="9">
        <v>2.5</v>
      </c>
      <c r="J8" s="9">
        <v>2.5</v>
      </c>
      <c r="K8" s="9">
        <v>2.5</v>
      </c>
      <c r="L8" s="9">
        <v>2.5</v>
      </c>
      <c r="M8" s="8"/>
      <c r="N8" s="8"/>
      <c r="O8" s="8"/>
      <c r="P8" s="3" t="s">
        <v>36</v>
      </c>
    </row>
    <row r="9" spans="1:16" x14ac:dyDescent="0.3">
      <c r="A9" t="s">
        <v>37</v>
      </c>
      <c r="B9" t="s">
        <v>38</v>
      </c>
      <c r="C9" s="8"/>
      <c r="D9" s="8"/>
      <c r="E9" s="8"/>
      <c r="F9" s="8"/>
      <c r="G9" s="9">
        <v>0.3</v>
      </c>
      <c r="H9" s="9">
        <v>-0.4</v>
      </c>
      <c r="I9" s="9">
        <v>-0.4</v>
      </c>
      <c r="J9" s="9">
        <v>0</v>
      </c>
      <c r="K9" s="9">
        <v>0.7</v>
      </c>
      <c r="L9" s="9">
        <v>0</v>
      </c>
      <c r="M9" s="8"/>
      <c r="N9" s="8"/>
      <c r="O9" s="8"/>
      <c r="P9" s="3" t="s">
        <v>39</v>
      </c>
    </row>
    <row r="10" spans="1:16" x14ac:dyDescent="0.3">
      <c r="A10" t="s">
        <v>40</v>
      </c>
      <c r="B10" t="s">
        <v>33</v>
      </c>
      <c r="C10" s="8"/>
      <c r="D10" s="8"/>
      <c r="E10" s="8"/>
      <c r="F10" s="8"/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8"/>
      <c r="N10" s="8"/>
      <c r="O10" s="8"/>
      <c r="P10" s="3" t="s">
        <v>41</v>
      </c>
    </row>
    <row r="11" spans="1:16" x14ac:dyDescent="0.3">
      <c r="A11" t="s">
        <v>42</v>
      </c>
      <c r="B11" t="s">
        <v>38</v>
      </c>
      <c r="C11" s="8"/>
      <c r="D11" s="8"/>
      <c r="E11" s="8"/>
      <c r="F11" s="8"/>
      <c r="G11" s="9">
        <v>3</v>
      </c>
      <c r="H11" s="9">
        <v>-0.4</v>
      </c>
      <c r="I11" s="9">
        <v>-1</v>
      </c>
      <c r="J11" s="9">
        <v>-0.8</v>
      </c>
      <c r="K11" s="9">
        <v>-0.6</v>
      </c>
      <c r="L11" s="9">
        <v>-0.1</v>
      </c>
      <c r="M11" s="8"/>
      <c r="N11" s="8"/>
      <c r="O11" s="8"/>
      <c r="P11" s="3" t="s">
        <v>43</v>
      </c>
    </row>
    <row r="12" spans="1:16" x14ac:dyDescent="0.3">
      <c r="A12" t="s">
        <v>44</v>
      </c>
      <c r="B12" t="s">
        <v>38</v>
      </c>
      <c r="C12" s="8"/>
      <c r="D12" s="8"/>
      <c r="E12" s="8"/>
      <c r="F12" s="8"/>
      <c r="G12" s="9">
        <v>-1.0523</v>
      </c>
      <c r="H12" s="9">
        <v>-0.5171</v>
      </c>
      <c r="I12" s="9">
        <v>0</v>
      </c>
      <c r="J12" s="9">
        <v>0</v>
      </c>
      <c r="K12" s="9">
        <v>0</v>
      </c>
      <c r="L12" s="9">
        <v>0</v>
      </c>
      <c r="M12" s="8"/>
      <c r="N12" s="8"/>
      <c r="O12" s="8"/>
      <c r="P12" s="3" t="s">
        <v>45</v>
      </c>
    </row>
    <row r="13" spans="1:16" x14ac:dyDescent="0.3">
      <c r="A13" t="s">
        <v>46</v>
      </c>
      <c r="B13" t="s">
        <v>47</v>
      </c>
      <c r="C13" s="8"/>
      <c r="D13" s="8"/>
      <c r="E13" s="8"/>
      <c r="F13" s="8"/>
      <c r="G13" s="9">
        <v>-0.6</v>
      </c>
      <c r="H13" s="9">
        <v>0.34670000000000001</v>
      </c>
      <c r="I13" s="9">
        <v>-5.1000000000000004E-3</v>
      </c>
      <c r="J13" s="9">
        <v>-5.1000000000000004E-3</v>
      </c>
      <c r="K13" s="9">
        <v>-5.1000000000000004E-3</v>
      </c>
      <c r="L13" s="9">
        <v>-5.1000000000000004E-3</v>
      </c>
      <c r="M13" s="8"/>
      <c r="N13" s="8"/>
      <c r="O13" s="8"/>
      <c r="P13" s="3" t="s">
        <v>48</v>
      </c>
    </row>
    <row r="14" spans="1:16" x14ac:dyDescent="0.3">
      <c r="A14" t="s">
        <v>49</v>
      </c>
      <c r="B14" t="s">
        <v>33</v>
      </c>
      <c r="C14" s="8"/>
      <c r="D14" s="8"/>
      <c r="E14" s="8"/>
      <c r="F14" s="8"/>
      <c r="G14" s="9">
        <v>10</v>
      </c>
      <c r="H14" s="9">
        <v>10</v>
      </c>
      <c r="I14" s="9">
        <v>9</v>
      </c>
      <c r="J14" s="9">
        <v>9</v>
      </c>
      <c r="K14" s="9">
        <v>9</v>
      </c>
      <c r="L14" s="9">
        <v>9</v>
      </c>
      <c r="M14" s="8"/>
      <c r="N14" s="8"/>
      <c r="O14" s="8"/>
      <c r="P14" s="3" t="s">
        <v>50</v>
      </c>
    </row>
    <row r="15" spans="1:16" x14ac:dyDescent="0.3">
      <c r="A15" t="s">
        <v>51</v>
      </c>
      <c r="B15" t="s">
        <v>52</v>
      </c>
      <c r="C15" s="8"/>
      <c r="D15" s="8"/>
      <c r="E15" s="8"/>
      <c r="F15" s="8"/>
      <c r="G15" s="9">
        <v>0.65</v>
      </c>
      <c r="H15" s="9">
        <v>0.65</v>
      </c>
      <c r="I15" s="9">
        <v>0.65</v>
      </c>
      <c r="J15" s="9">
        <v>0.65</v>
      </c>
      <c r="K15" s="9">
        <v>0.65</v>
      </c>
      <c r="L15" s="9">
        <v>0.65</v>
      </c>
      <c r="M15" s="8"/>
      <c r="N15" s="8"/>
      <c r="O15" s="8"/>
      <c r="P15" s="3" t="s">
        <v>53</v>
      </c>
    </row>
    <row r="16" spans="1:16" x14ac:dyDescent="0.3">
      <c r="A16" t="s">
        <v>54</v>
      </c>
      <c r="B16" t="s">
        <v>55</v>
      </c>
      <c r="C16" s="10"/>
      <c r="D16" s="10"/>
      <c r="E16" s="10"/>
      <c r="F16" s="10"/>
      <c r="G16" s="11">
        <v>170</v>
      </c>
      <c r="H16" s="11">
        <v>165</v>
      </c>
      <c r="I16" s="11">
        <v>160</v>
      </c>
      <c r="J16" s="11">
        <v>160</v>
      </c>
      <c r="K16" s="11">
        <v>160</v>
      </c>
      <c r="L16" s="11">
        <v>160</v>
      </c>
      <c r="M16" s="10"/>
      <c r="N16" s="10"/>
      <c r="O16" s="10"/>
      <c r="P16" s="3" t="s">
        <v>56</v>
      </c>
    </row>
    <row r="17" spans="1:16" x14ac:dyDescent="0.3">
      <c r="A17" t="s">
        <v>57</v>
      </c>
      <c r="B17" t="s">
        <v>55</v>
      </c>
      <c r="C17" s="10"/>
      <c r="D17" s="10"/>
      <c r="E17" s="10"/>
      <c r="F17" s="10"/>
      <c r="G17" s="11">
        <v>31</v>
      </c>
      <c r="H17" s="11">
        <v>31</v>
      </c>
      <c r="I17" s="11">
        <v>31</v>
      </c>
      <c r="J17" s="11">
        <v>31</v>
      </c>
      <c r="K17" s="11">
        <v>31</v>
      </c>
      <c r="L17" s="11">
        <v>31</v>
      </c>
      <c r="M17" s="10"/>
      <c r="N17" s="10"/>
      <c r="O17" s="10"/>
      <c r="P17" s="3" t="s">
        <v>58</v>
      </c>
    </row>
    <row r="18" spans="1:16" x14ac:dyDescent="0.3">
      <c r="A18" t="s">
        <v>59</v>
      </c>
      <c r="B18" t="s">
        <v>60</v>
      </c>
      <c r="C18" s="8"/>
      <c r="D18" s="8"/>
      <c r="E18" s="8"/>
      <c r="F18" s="8"/>
      <c r="G18" s="9">
        <v>18</v>
      </c>
      <c r="H18" s="9">
        <v>18</v>
      </c>
      <c r="I18" s="9">
        <v>18</v>
      </c>
      <c r="J18" s="9">
        <v>18</v>
      </c>
      <c r="K18" s="9">
        <v>18</v>
      </c>
      <c r="L18" s="9">
        <v>18</v>
      </c>
      <c r="M18" s="8"/>
      <c r="N18" s="8"/>
      <c r="O18" s="8"/>
      <c r="P18" s="3" t="s">
        <v>61</v>
      </c>
    </row>
    <row r="19" spans="1:16" x14ac:dyDescent="0.3">
      <c r="A19" t="s">
        <v>62</v>
      </c>
      <c r="B19" t="s">
        <v>55</v>
      </c>
      <c r="C19" s="10"/>
      <c r="D19" s="10"/>
      <c r="E19" s="10"/>
      <c r="F19" s="10"/>
      <c r="G19" s="11">
        <v>1050</v>
      </c>
      <c r="H19" s="11">
        <v>1050</v>
      </c>
      <c r="I19" s="11">
        <v>1050</v>
      </c>
      <c r="J19" s="11">
        <v>1050</v>
      </c>
      <c r="K19" s="11">
        <v>1050</v>
      </c>
      <c r="L19" s="11">
        <v>1050</v>
      </c>
      <c r="M19" s="10"/>
      <c r="N19" s="10"/>
      <c r="O19" s="10"/>
      <c r="P19" s="3" t="s">
        <v>63</v>
      </c>
    </row>
    <row r="20" spans="1:16" x14ac:dyDescent="0.3">
      <c r="A20" t="s">
        <v>64</v>
      </c>
      <c r="B20" t="s">
        <v>65</v>
      </c>
      <c r="C20" s="12"/>
      <c r="D20" s="12"/>
      <c r="E20" s="12"/>
      <c r="F20" s="12"/>
      <c r="G20" s="13">
        <v>170.19</v>
      </c>
      <c r="H20" s="13">
        <v>172.23230000000001</v>
      </c>
      <c r="I20" s="13">
        <v>174.29910000000001</v>
      </c>
      <c r="J20" s="13">
        <v>176.39070000000001</v>
      </c>
      <c r="K20" s="13">
        <v>178.50729999999999</v>
      </c>
      <c r="L20" s="13">
        <v>180.64940000000001</v>
      </c>
      <c r="M20" s="12"/>
      <c r="N20" s="12"/>
      <c r="O20" s="12"/>
      <c r="P20" s="3" t="s">
        <v>66</v>
      </c>
    </row>
    <row r="21" spans="1:16" x14ac:dyDescent="0.3">
      <c r="A21" t="s">
        <v>67</v>
      </c>
      <c r="B21" t="s">
        <v>68</v>
      </c>
      <c r="C21" s="10"/>
      <c r="D21" s="10"/>
      <c r="E21" s="10"/>
      <c r="F21" s="10"/>
      <c r="G21" s="11">
        <v>1.6</v>
      </c>
      <c r="H21" s="11">
        <v>1.6</v>
      </c>
      <c r="I21" s="11">
        <v>1.6</v>
      </c>
      <c r="J21" s="11">
        <v>1.6</v>
      </c>
      <c r="K21" s="11">
        <v>1.6</v>
      </c>
      <c r="L21" s="11">
        <v>1.6</v>
      </c>
      <c r="M21" s="10"/>
      <c r="N21" s="10"/>
      <c r="O21" s="10"/>
      <c r="P21" s="3" t="s">
        <v>69</v>
      </c>
    </row>
    <row r="22" spans="1:16" x14ac:dyDescent="0.3">
      <c r="A22" t="s">
        <v>70</v>
      </c>
      <c r="B22" t="s">
        <v>71</v>
      </c>
      <c r="C22" s="8"/>
      <c r="D22" s="8"/>
      <c r="E22" s="8"/>
      <c r="F22" s="8"/>
      <c r="G22" s="9">
        <v>0.7</v>
      </c>
      <c r="H22" s="9">
        <v>0.7</v>
      </c>
      <c r="I22" s="9">
        <v>3.2</v>
      </c>
      <c r="J22" s="9">
        <v>1</v>
      </c>
      <c r="K22" s="9">
        <v>0.7</v>
      </c>
      <c r="L22" s="9">
        <v>0.7</v>
      </c>
      <c r="M22" s="8"/>
      <c r="N22" s="8"/>
      <c r="O22" s="8"/>
      <c r="P22" s="3" t="s">
        <v>72</v>
      </c>
    </row>
    <row r="24" spans="1:16" x14ac:dyDescent="0.3">
      <c r="A24" s="7" t="s">
        <v>73</v>
      </c>
    </row>
    <row r="25" spans="1:16" x14ac:dyDescent="0.3">
      <c r="A25" t="s">
        <v>74</v>
      </c>
      <c r="B25" t="s">
        <v>75</v>
      </c>
      <c r="C25" s="14">
        <v>133.6</v>
      </c>
      <c r="D25" s="14">
        <v>121.9</v>
      </c>
      <c r="E25" s="14">
        <v>156.19999999999999</v>
      </c>
      <c r="F25" s="14">
        <v>148.30000000000001</v>
      </c>
      <c r="G25" s="10">
        <f t="shared" ref="G25:L25" si="0">C25*(1+G7/100)</f>
        <v>146.96</v>
      </c>
      <c r="H25" s="10">
        <f t="shared" si="0"/>
        <v>132.26150000000001</v>
      </c>
      <c r="I25" s="10">
        <f t="shared" si="0"/>
        <v>170.25800000000001</v>
      </c>
      <c r="J25" s="10">
        <f t="shared" si="0"/>
        <v>161.64700000000002</v>
      </c>
      <c r="K25" s="10">
        <f t="shared" si="0"/>
        <v>160.18640000000002</v>
      </c>
      <c r="L25" s="10">
        <f t="shared" si="0"/>
        <v>144.16503500000002</v>
      </c>
      <c r="M25" s="14">
        <v>533</v>
      </c>
      <c r="N25" s="10">
        <f>E25+F25+G25+H25</f>
        <v>583.72150000000011</v>
      </c>
      <c r="O25" s="10">
        <f>I25+J25+K25+L25</f>
        <v>636.25643500000001</v>
      </c>
      <c r="P25" s="3" t="s">
        <v>76</v>
      </c>
    </row>
    <row r="26" spans="1:16" x14ac:dyDescent="0.3">
      <c r="A26" t="s">
        <v>77</v>
      </c>
      <c r="B26" t="s">
        <v>55</v>
      </c>
      <c r="C26" s="14">
        <v>22892</v>
      </c>
      <c r="D26" s="14">
        <v>20400</v>
      </c>
      <c r="E26" s="14">
        <v>29187</v>
      </c>
      <c r="F26" s="14">
        <v>27247</v>
      </c>
      <c r="G26" s="10">
        <f t="shared" ref="G26:L26" si="1">C26*(1+G7/100)*(1+G8/100)*(1+G9/100)</f>
        <v>26014.445907999998</v>
      </c>
      <c r="H26" s="10">
        <f t="shared" si="1"/>
        <v>22596.600599999998</v>
      </c>
      <c r="I26" s="10">
        <f t="shared" si="1"/>
        <v>32478.739046999999</v>
      </c>
      <c r="J26" s="10">
        <f t="shared" si="1"/>
        <v>30441.710750000002</v>
      </c>
      <c r="K26" s="10">
        <f t="shared" si="1"/>
        <v>29268.092168547988</v>
      </c>
      <c r="L26" s="10">
        <f t="shared" si="1"/>
        <v>25246.052020349998</v>
      </c>
      <c r="M26" s="14">
        <v>91292</v>
      </c>
      <c r="N26" s="10">
        <f>E26+F26+G26+H26</f>
        <v>105045.046508</v>
      </c>
      <c r="O26" s="10">
        <f>I26+J26+K26+L26</f>
        <v>117434.59398589798</v>
      </c>
      <c r="P26" s="3" t="s">
        <v>78</v>
      </c>
    </row>
    <row r="27" spans="1:16" x14ac:dyDescent="0.3">
      <c r="A27" t="s">
        <v>79</v>
      </c>
      <c r="B27" t="s">
        <v>65</v>
      </c>
      <c r="C27" s="8">
        <f t="shared" ref="C27:O27" si="2">C26/C25</f>
        <v>171.34730538922156</v>
      </c>
      <c r="D27" s="8">
        <f t="shared" si="2"/>
        <v>167.35028712059065</v>
      </c>
      <c r="E27" s="8">
        <f t="shared" si="2"/>
        <v>186.85659411011525</v>
      </c>
      <c r="F27" s="8">
        <f t="shared" si="2"/>
        <v>183.72892784895481</v>
      </c>
      <c r="G27" s="8">
        <f t="shared" si="2"/>
        <v>177.01718772455087</v>
      </c>
      <c r="H27" s="8">
        <f t="shared" si="2"/>
        <v>170.84790812141097</v>
      </c>
      <c r="I27" s="8">
        <f t="shared" si="2"/>
        <v>190.76189692701664</v>
      </c>
      <c r="J27" s="8">
        <f t="shared" si="2"/>
        <v>188.32215104517869</v>
      </c>
      <c r="K27" s="8">
        <f t="shared" si="2"/>
        <v>182.71271573958828</v>
      </c>
      <c r="L27" s="8">
        <f t="shared" si="2"/>
        <v>175.11910582444622</v>
      </c>
      <c r="M27" s="8">
        <f t="shared" si="2"/>
        <v>171.27954971857412</v>
      </c>
      <c r="N27" s="8">
        <f t="shared" si="2"/>
        <v>179.9574737404738</v>
      </c>
      <c r="O27" s="8">
        <f t="shared" si="2"/>
        <v>184.57116899084562</v>
      </c>
    </row>
    <row r="28" spans="1:16" x14ac:dyDescent="0.3">
      <c r="A28" t="s">
        <v>80</v>
      </c>
      <c r="B28" t="s">
        <v>55</v>
      </c>
      <c r="C28" s="14">
        <v>4095</v>
      </c>
      <c r="D28" s="14">
        <v>2778</v>
      </c>
      <c r="E28" s="14">
        <v>2678</v>
      </c>
      <c r="F28" s="14">
        <v>3608</v>
      </c>
      <c r="G28" s="10">
        <f t="shared" ref="G28:L28" si="3">C28*(1+G7/100)*(1+G8/100)*(1+G10/100)*(1+(G11+G12)/100)</f>
        <v>4730.0011708949996</v>
      </c>
      <c r="H28" s="10">
        <f t="shared" si="3"/>
        <v>3061.1495991142497</v>
      </c>
      <c r="I28" s="10">
        <f t="shared" si="3"/>
        <v>2962.0755450000001</v>
      </c>
      <c r="J28" s="10">
        <f t="shared" si="3"/>
        <v>3998.7896959999998</v>
      </c>
      <c r="K28" s="10">
        <f t="shared" si="3"/>
        <v>5252.886245333344</v>
      </c>
      <c r="L28" s="10">
        <f t="shared" si="3"/>
        <v>3416.6493202207848</v>
      </c>
      <c r="M28" s="14">
        <v>12241</v>
      </c>
      <c r="N28" s="10">
        <f>E28+F28+G28+H28</f>
        <v>14077.15077000925</v>
      </c>
      <c r="O28" s="10">
        <f>I28+J28+K28+L28</f>
        <v>15630.400806554127</v>
      </c>
      <c r="P28" s="3" t="s">
        <v>76</v>
      </c>
    </row>
    <row r="29" spans="1:16" x14ac:dyDescent="0.3">
      <c r="A29" t="s">
        <v>81</v>
      </c>
      <c r="B29" t="s">
        <v>60</v>
      </c>
      <c r="C29" s="8">
        <f t="shared" ref="C29:O29" si="4">C28/C26*100</f>
        <v>17.888345273457976</v>
      </c>
      <c r="D29" s="8">
        <f t="shared" si="4"/>
        <v>13.617647058823529</v>
      </c>
      <c r="E29" s="8">
        <f t="shared" si="4"/>
        <v>9.1753177784630147</v>
      </c>
      <c r="F29" s="8">
        <f t="shared" si="4"/>
        <v>13.24182478805006</v>
      </c>
      <c r="G29" s="8">
        <f t="shared" si="4"/>
        <v>18.18220994451557</v>
      </c>
      <c r="H29" s="8">
        <f t="shared" si="4"/>
        <v>13.546947407276164</v>
      </c>
      <c r="I29" s="8">
        <f t="shared" si="4"/>
        <v>9.1200447797975759</v>
      </c>
      <c r="J29" s="8">
        <f t="shared" si="4"/>
        <v>13.135890189745659</v>
      </c>
      <c r="K29" s="8">
        <f t="shared" si="4"/>
        <v>17.947484294784985</v>
      </c>
      <c r="L29" s="8">
        <f t="shared" si="4"/>
        <v>13.533400459868886</v>
      </c>
      <c r="M29" s="8">
        <f t="shared" si="4"/>
        <v>13.40862288042764</v>
      </c>
      <c r="N29" s="8">
        <f t="shared" si="4"/>
        <v>13.401061009513823</v>
      </c>
      <c r="O29" s="8">
        <f t="shared" si="4"/>
        <v>13.309877674061774</v>
      </c>
      <c r="P29" s="3" t="s">
        <v>82</v>
      </c>
    </row>
    <row r="30" spans="1:16" x14ac:dyDescent="0.3">
      <c r="A30" t="s">
        <v>83</v>
      </c>
      <c r="B30" t="s">
        <v>60</v>
      </c>
      <c r="C30" s="8">
        <f>C31/C28*100</f>
        <v>50.085470085470085</v>
      </c>
      <c r="D30" s="8">
        <f>D31/D28*100</f>
        <v>28.293736501079913</v>
      </c>
      <c r="E30" s="8">
        <f>E31/E28*100</f>
        <v>19.380134428678115</v>
      </c>
      <c r="F30" s="8">
        <f>F31/F28*100</f>
        <v>34.950110864745007</v>
      </c>
      <c r="G30" s="8">
        <f t="shared" ref="G30:L30" si="5">C30+G13</f>
        <v>49.485470085470084</v>
      </c>
      <c r="H30" s="8">
        <f t="shared" si="5"/>
        <v>28.640436501079911</v>
      </c>
      <c r="I30" s="8">
        <f t="shared" si="5"/>
        <v>19.375034428678116</v>
      </c>
      <c r="J30" s="8">
        <f t="shared" si="5"/>
        <v>34.945010864745008</v>
      </c>
      <c r="K30" s="8">
        <f t="shared" si="5"/>
        <v>49.480370085470085</v>
      </c>
      <c r="L30" s="8">
        <f t="shared" si="5"/>
        <v>28.635336501079912</v>
      </c>
      <c r="M30" s="8">
        <f>M31/M28*100</f>
        <v>35.10334123029164</v>
      </c>
      <c r="N30" s="8">
        <f>N31/N28*100</f>
        <v>35.500009932760882</v>
      </c>
      <c r="O30" s="8">
        <f>O31/O28*100</f>
        <v>35.500031658258983</v>
      </c>
    </row>
    <row r="31" spans="1:16" x14ac:dyDescent="0.3">
      <c r="A31" t="s">
        <v>84</v>
      </c>
      <c r="B31" t="s">
        <v>55</v>
      </c>
      <c r="C31" s="14">
        <v>2051</v>
      </c>
      <c r="D31" s="14">
        <v>786</v>
      </c>
      <c r="E31" s="14">
        <v>519</v>
      </c>
      <c r="F31" s="14">
        <v>1261</v>
      </c>
      <c r="G31" s="10">
        <f t="shared" ref="G31:L31" si="6">G28*G30/100</f>
        <v>2340.6633144656298</v>
      </c>
      <c r="H31" s="10">
        <f t="shared" si="6"/>
        <v>876.72660713737889</v>
      </c>
      <c r="I31" s="10">
        <f t="shared" si="6"/>
        <v>573.90315664720492</v>
      </c>
      <c r="J31" s="10">
        <f t="shared" si="6"/>
        <v>1397.3774937255037</v>
      </c>
      <c r="K31" s="10">
        <f t="shared" si="6"/>
        <v>2599.1475543596925</v>
      </c>
      <c r="L31" s="10">
        <f t="shared" si="6"/>
        <v>978.36902990708109</v>
      </c>
      <c r="M31" s="14">
        <v>4297</v>
      </c>
      <c r="N31" s="10">
        <f t="shared" ref="N31:N38" si="7">E31+F31+G31+H31</f>
        <v>4997.3899216030086</v>
      </c>
      <c r="O31" s="10">
        <f t="shared" ref="O31:O38" si="8">I31+J31+K31+L31</f>
        <v>5548.7972346394827</v>
      </c>
      <c r="P31" s="3" t="s">
        <v>76</v>
      </c>
    </row>
    <row r="32" spans="1:16" x14ac:dyDescent="0.3">
      <c r="A32" t="s">
        <v>85</v>
      </c>
      <c r="B32" t="s">
        <v>55</v>
      </c>
      <c r="C32" s="14">
        <v>399</v>
      </c>
      <c r="D32" s="14">
        <v>400</v>
      </c>
      <c r="E32" s="14">
        <v>410</v>
      </c>
      <c r="F32" s="14">
        <v>487</v>
      </c>
      <c r="G32" s="10">
        <f t="shared" ref="G32:L32" si="9">C32*(1+G14/100)</f>
        <v>438.90000000000003</v>
      </c>
      <c r="H32" s="10">
        <f t="shared" si="9"/>
        <v>440.00000000000006</v>
      </c>
      <c r="I32" s="10">
        <f t="shared" si="9"/>
        <v>446.90000000000003</v>
      </c>
      <c r="J32" s="10">
        <f t="shared" si="9"/>
        <v>530.83000000000004</v>
      </c>
      <c r="K32" s="10">
        <f t="shared" si="9"/>
        <v>478.40100000000007</v>
      </c>
      <c r="L32" s="10">
        <f t="shared" si="9"/>
        <v>479.60000000000008</v>
      </c>
      <c r="M32" s="14">
        <v>1581</v>
      </c>
      <c r="N32" s="10">
        <f t="shared" si="7"/>
        <v>1775.9</v>
      </c>
      <c r="O32" s="10">
        <f t="shared" si="8"/>
        <v>1935.7310000000002</v>
      </c>
      <c r="P32" s="3" t="s">
        <v>86</v>
      </c>
    </row>
    <row r="33" spans="1:16" x14ac:dyDescent="0.3">
      <c r="A33" t="s">
        <v>51</v>
      </c>
      <c r="B33" t="s">
        <v>55</v>
      </c>
      <c r="C33" s="14">
        <v>22</v>
      </c>
      <c r="D33" s="14">
        <v>23</v>
      </c>
      <c r="E33" s="14">
        <v>22</v>
      </c>
      <c r="F33" s="14">
        <v>17</v>
      </c>
      <c r="G33" s="10">
        <f t="shared" ref="G33:L33" si="10">G28*G15/100</f>
        <v>30.745007610817495</v>
      </c>
      <c r="H33" s="10">
        <f t="shared" si="10"/>
        <v>19.897472394242623</v>
      </c>
      <c r="I33" s="10">
        <f t="shared" si="10"/>
        <v>19.253491042500002</v>
      </c>
      <c r="J33" s="10">
        <f t="shared" si="10"/>
        <v>25.992133024000001</v>
      </c>
      <c r="K33" s="10">
        <f t="shared" si="10"/>
        <v>34.143760594666738</v>
      </c>
      <c r="L33" s="10">
        <f t="shared" si="10"/>
        <v>22.208220581435103</v>
      </c>
      <c r="M33" s="14">
        <v>91</v>
      </c>
      <c r="N33" s="10">
        <f t="shared" si="7"/>
        <v>89.642480005060122</v>
      </c>
      <c r="O33" s="10">
        <f t="shared" si="8"/>
        <v>101.59760524260183</v>
      </c>
      <c r="P33" s="3" t="s">
        <v>87</v>
      </c>
    </row>
    <row r="34" spans="1:16" x14ac:dyDescent="0.3">
      <c r="A34" t="s">
        <v>88</v>
      </c>
      <c r="B34" t="s">
        <v>55</v>
      </c>
      <c r="C34" s="14">
        <v>1599</v>
      </c>
      <c r="D34" s="14">
        <v>193</v>
      </c>
      <c r="E34" s="14">
        <v>166</v>
      </c>
      <c r="F34" s="14">
        <v>744</v>
      </c>
      <c r="G34" s="10">
        <f t="shared" ref="G34:L34" si="11">G31-G32-G33</f>
        <v>1871.0183068548122</v>
      </c>
      <c r="H34" s="10">
        <f t="shared" si="11"/>
        <v>416.82913474313619</v>
      </c>
      <c r="I34" s="10">
        <f t="shared" si="11"/>
        <v>107.74966560470489</v>
      </c>
      <c r="J34" s="10">
        <f t="shared" si="11"/>
        <v>840.55536070150356</v>
      </c>
      <c r="K34" s="10">
        <f t="shared" si="11"/>
        <v>2086.602793765026</v>
      </c>
      <c r="L34" s="10">
        <f t="shared" si="11"/>
        <v>476.56080932564589</v>
      </c>
      <c r="M34" s="14">
        <v>2320</v>
      </c>
      <c r="N34" s="10">
        <f t="shared" si="7"/>
        <v>3197.8474415979485</v>
      </c>
      <c r="O34" s="10">
        <f t="shared" si="8"/>
        <v>3511.4686293968807</v>
      </c>
      <c r="P34" s="3" t="s">
        <v>89</v>
      </c>
    </row>
    <row r="35" spans="1:16" x14ac:dyDescent="0.3">
      <c r="A35" t="s">
        <v>54</v>
      </c>
      <c r="B35" t="s">
        <v>55</v>
      </c>
      <c r="C35" s="14">
        <v>180</v>
      </c>
      <c r="D35" s="14">
        <v>162</v>
      </c>
      <c r="E35" s="14">
        <v>155</v>
      </c>
      <c r="F35" s="14">
        <v>183</v>
      </c>
      <c r="G35" s="10">
        <f t="shared" ref="G35:L36" si="12">G16</f>
        <v>170</v>
      </c>
      <c r="H35" s="10">
        <f t="shared" si="12"/>
        <v>165</v>
      </c>
      <c r="I35" s="10">
        <f t="shared" si="12"/>
        <v>160</v>
      </c>
      <c r="J35" s="10">
        <f t="shared" si="12"/>
        <v>160</v>
      </c>
      <c r="K35" s="10">
        <f t="shared" si="12"/>
        <v>160</v>
      </c>
      <c r="L35" s="10">
        <f t="shared" si="12"/>
        <v>160</v>
      </c>
      <c r="M35" s="14">
        <v>705</v>
      </c>
      <c r="N35" s="10">
        <f t="shared" si="7"/>
        <v>673</v>
      </c>
      <c r="O35" s="10">
        <f t="shared" si="8"/>
        <v>640</v>
      </c>
      <c r="P35" s="3" t="s">
        <v>90</v>
      </c>
    </row>
    <row r="36" spans="1:16" x14ac:dyDescent="0.3">
      <c r="A36" t="s">
        <v>57</v>
      </c>
      <c r="B36" t="s">
        <v>55</v>
      </c>
      <c r="C36" s="14">
        <v>0</v>
      </c>
      <c r="D36" s="14">
        <v>0</v>
      </c>
      <c r="E36" s="14">
        <v>0</v>
      </c>
      <c r="F36" s="14">
        <v>37</v>
      </c>
      <c r="G36" s="10">
        <f t="shared" si="12"/>
        <v>31</v>
      </c>
      <c r="H36" s="10">
        <f t="shared" si="12"/>
        <v>31</v>
      </c>
      <c r="I36" s="10">
        <f t="shared" si="12"/>
        <v>31</v>
      </c>
      <c r="J36" s="10">
        <f t="shared" si="12"/>
        <v>31</v>
      </c>
      <c r="K36" s="10">
        <f t="shared" si="12"/>
        <v>31</v>
      </c>
      <c r="L36" s="10">
        <f t="shared" si="12"/>
        <v>31</v>
      </c>
      <c r="M36" s="14">
        <v>0</v>
      </c>
      <c r="N36" s="10">
        <f t="shared" si="7"/>
        <v>99</v>
      </c>
      <c r="O36" s="10">
        <f t="shared" si="8"/>
        <v>124</v>
      </c>
      <c r="P36" s="3" t="s">
        <v>90</v>
      </c>
    </row>
    <row r="37" spans="1:16" x14ac:dyDescent="0.3">
      <c r="A37" t="s">
        <v>91</v>
      </c>
      <c r="B37" t="s">
        <v>55</v>
      </c>
      <c r="C37" s="14">
        <v>13</v>
      </c>
      <c r="D37" s="14">
        <v>38</v>
      </c>
      <c r="E37" s="14">
        <v>-40</v>
      </c>
      <c r="F37" s="14">
        <v>7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4">
        <v>112</v>
      </c>
      <c r="N37" s="10">
        <f t="shared" si="7"/>
        <v>-33</v>
      </c>
      <c r="O37" s="10">
        <f t="shared" si="8"/>
        <v>0</v>
      </c>
      <c r="P37" s="3" t="s">
        <v>92</v>
      </c>
    </row>
    <row r="38" spans="1:16" x14ac:dyDescent="0.3">
      <c r="A38" t="s">
        <v>93</v>
      </c>
      <c r="B38" t="s">
        <v>55</v>
      </c>
      <c r="C38" s="10">
        <f t="shared" ref="C38:M38" si="13">C34+C35-C36+C37</f>
        <v>1792</v>
      </c>
      <c r="D38" s="10">
        <f t="shared" si="13"/>
        <v>393</v>
      </c>
      <c r="E38" s="10">
        <f t="shared" si="13"/>
        <v>281</v>
      </c>
      <c r="F38" s="10">
        <f t="shared" si="13"/>
        <v>897</v>
      </c>
      <c r="G38" s="10">
        <f t="shared" si="13"/>
        <v>2010.0183068548122</v>
      </c>
      <c r="H38" s="10">
        <f t="shared" si="13"/>
        <v>550.82913474313614</v>
      </c>
      <c r="I38" s="10">
        <f t="shared" si="13"/>
        <v>236.74966560470489</v>
      </c>
      <c r="J38" s="10">
        <f t="shared" si="13"/>
        <v>969.55536070150356</v>
      </c>
      <c r="K38" s="10">
        <f t="shared" si="13"/>
        <v>2215.602793765026</v>
      </c>
      <c r="L38" s="10">
        <f t="shared" si="13"/>
        <v>605.56080932564589</v>
      </c>
      <c r="M38" s="10">
        <f t="shared" si="13"/>
        <v>3137</v>
      </c>
      <c r="N38" s="10">
        <f t="shared" si="7"/>
        <v>3738.8474415979481</v>
      </c>
      <c r="O38" s="10">
        <f t="shared" si="8"/>
        <v>4027.4686293968807</v>
      </c>
    </row>
    <row r="39" spans="1:16" x14ac:dyDescent="0.3">
      <c r="A39" t="s">
        <v>59</v>
      </c>
      <c r="B39" t="s">
        <v>60</v>
      </c>
      <c r="C39" s="8">
        <f>C40/C38*100</f>
        <v>23.325892857142858</v>
      </c>
      <c r="D39" s="8">
        <f>D40/D38*100</f>
        <v>13.231552162849871</v>
      </c>
      <c r="E39" s="8">
        <f>E40/E38*100</f>
        <v>43.060498220640568</v>
      </c>
      <c r="F39" s="8">
        <f>F40/F38*100</f>
        <v>9.0301003344481607</v>
      </c>
      <c r="G39" s="8">
        <f t="shared" ref="G39:L39" si="14">G18</f>
        <v>18</v>
      </c>
      <c r="H39" s="8">
        <f t="shared" si="14"/>
        <v>18</v>
      </c>
      <c r="I39" s="8">
        <f t="shared" si="14"/>
        <v>18</v>
      </c>
      <c r="J39" s="8">
        <f t="shared" si="14"/>
        <v>18</v>
      </c>
      <c r="K39" s="8">
        <f t="shared" si="14"/>
        <v>18</v>
      </c>
      <c r="L39" s="8">
        <f t="shared" si="14"/>
        <v>18</v>
      </c>
      <c r="M39" s="8">
        <f>M40/M38*100</f>
        <v>19.95537137392413</v>
      </c>
      <c r="N39" s="8">
        <f>N40/N38*100</f>
        <v>17.731468048460705</v>
      </c>
      <c r="O39" s="8">
        <f>O40/O38*100</f>
        <v>18</v>
      </c>
    </row>
    <row r="40" spans="1:16" x14ac:dyDescent="0.3">
      <c r="A40" t="s">
        <v>94</v>
      </c>
      <c r="B40" t="s">
        <v>55</v>
      </c>
      <c r="C40" s="14">
        <v>418</v>
      </c>
      <c r="D40" s="14">
        <v>52</v>
      </c>
      <c r="E40" s="14">
        <v>121</v>
      </c>
      <c r="F40" s="14">
        <v>81</v>
      </c>
      <c r="G40" s="10">
        <f t="shared" ref="G40:L40" si="15">G38*G39/100</f>
        <v>361.80329523386621</v>
      </c>
      <c r="H40" s="10">
        <f t="shared" si="15"/>
        <v>99.149244253764493</v>
      </c>
      <c r="I40" s="10">
        <f t="shared" si="15"/>
        <v>42.614939808846884</v>
      </c>
      <c r="J40" s="10">
        <f t="shared" si="15"/>
        <v>174.51996492627063</v>
      </c>
      <c r="K40" s="10">
        <f t="shared" si="15"/>
        <v>398.80850287770465</v>
      </c>
      <c r="L40" s="10">
        <f t="shared" si="15"/>
        <v>109.00094567861626</v>
      </c>
      <c r="M40" s="14">
        <v>626</v>
      </c>
      <c r="N40" s="10">
        <f>E40+F40+G40+H40</f>
        <v>662.9525394876307</v>
      </c>
      <c r="O40" s="10">
        <f>I40+J40+K40+L40</f>
        <v>724.94435329143846</v>
      </c>
      <c r="P40" s="3" t="s">
        <v>95</v>
      </c>
    </row>
    <row r="41" spans="1:16" x14ac:dyDescent="0.3">
      <c r="A41" t="s">
        <v>96</v>
      </c>
      <c r="B41" t="s">
        <v>55</v>
      </c>
      <c r="C41" s="14">
        <f t="shared" ref="C41:M41" si="16">C38-C40</f>
        <v>1374</v>
      </c>
      <c r="D41" s="14">
        <f t="shared" si="16"/>
        <v>341</v>
      </c>
      <c r="E41" s="14">
        <f t="shared" si="16"/>
        <v>160</v>
      </c>
      <c r="F41" s="14">
        <f t="shared" si="16"/>
        <v>816</v>
      </c>
      <c r="G41" s="10">
        <f t="shared" si="16"/>
        <v>1648.2150116209459</v>
      </c>
      <c r="H41" s="10">
        <f t="shared" si="16"/>
        <v>451.67989048937164</v>
      </c>
      <c r="I41" s="10">
        <f t="shared" si="16"/>
        <v>194.134725795858</v>
      </c>
      <c r="J41" s="10">
        <f t="shared" si="16"/>
        <v>795.03539577523293</v>
      </c>
      <c r="K41" s="10">
        <f t="shared" si="16"/>
        <v>1816.7942908873215</v>
      </c>
      <c r="L41" s="10">
        <f t="shared" si="16"/>
        <v>496.5598636470296</v>
      </c>
      <c r="M41" s="14">
        <f t="shared" si="16"/>
        <v>2511</v>
      </c>
      <c r="N41" s="10">
        <f>E41+F41+G41+H41</f>
        <v>3075.8949021103176</v>
      </c>
      <c r="O41" s="10">
        <f>I41+J41+K41+L41</f>
        <v>3302.5242761054419</v>
      </c>
      <c r="P41" s="3" t="s">
        <v>76</v>
      </c>
    </row>
    <row r="42" spans="1:16" x14ac:dyDescent="0.3">
      <c r="A42" t="s">
        <v>97</v>
      </c>
      <c r="B42" t="s">
        <v>75</v>
      </c>
      <c r="C42" s="14">
        <v>621</v>
      </c>
      <c r="D42" s="14">
        <v>613</v>
      </c>
      <c r="E42" s="14">
        <v>608</v>
      </c>
      <c r="F42" s="14">
        <v>597</v>
      </c>
      <c r="G42" s="10">
        <f t="shared" ref="G42:L42" si="17">F42-G19/G20+G21</f>
        <v>592.43042481931957</v>
      </c>
      <c r="H42" s="10">
        <f t="shared" si="17"/>
        <v>587.93400736452168</v>
      </c>
      <c r="I42" s="10">
        <f t="shared" si="17"/>
        <v>583.50987987332985</v>
      </c>
      <c r="J42" s="10">
        <f t="shared" si="17"/>
        <v>579.15718508840075</v>
      </c>
      <c r="K42" s="10">
        <f t="shared" si="17"/>
        <v>574.87507270420133</v>
      </c>
      <c r="L42" s="10">
        <f t="shared" si="17"/>
        <v>570.66270908716194</v>
      </c>
      <c r="M42" s="14">
        <v>623</v>
      </c>
      <c r="N42" s="10">
        <f>AVERAGE(E42:H42)</f>
        <v>596.34110804596025</v>
      </c>
      <c r="O42" s="10">
        <f>AVERAGE(I42:L42)</f>
        <v>577.0512116882735</v>
      </c>
      <c r="P42" s="3" t="s">
        <v>98</v>
      </c>
    </row>
    <row r="43" spans="1:16" x14ac:dyDescent="0.3">
      <c r="A43" t="s">
        <v>99</v>
      </c>
      <c r="B43" t="s">
        <v>65</v>
      </c>
      <c r="C43" s="12">
        <f t="shared" ref="C43:O43" si="18">C41/C42</f>
        <v>2.21256038647343</v>
      </c>
      <c r="D43" s="12">
        <f t="shared" si="18"/>
        <v>0.55628058727569329</v>
      </c>
      <c r="E43" s="12">
        <f t="shared" si="18"/>
        <v>0.26315789473684209</v>
      </c>
      <c r="F43" s="12">
        <f t="shared" si="18"/>
        <v>1.3668341708542713</v>
      </c>
      <c r="G43" s="12">
        <f t="shared" si="18"/>
        <v>2.7821241829766277</v>
      </c>
      <c r="H43" s="12">
        <f t="shared" si="18"/>
        <v>0.76824930150592241</v>
      </c>
      <c r="I43" s="12">
        <f t="shared" si="18"/>
        <v>0.33270169450772863</v>
      </c>
      <c r="J43" s="12">
        <f t="shared" si="18"/>
        <v>1.3727454588237236</v>
      </c>
      <c r="K43" s="12">
        <f t="shared" si="18"/>
        <v>3.1603288734388082</v>
      </c>
      <c r="L43" s="12">
        <f t="shared" si="18"/>
        <v>0.87014598245140629</v>
      </c>
      <c r="M43" s="12">
        <f t="shared" si="18"/>
        <v>4.0304975922953448</v>
      </c>
      <c r="N43" s="12">
        <f t="shared" si="18"/>
        <v>5.1579454453327021</v>
      </c>
      <c r="O43" s="12">
        <f t="shared" si="18"/>
        <v>5.7231043089629372</v>
      </c>
      <c r="P43" s="3" t="s">
        <v>100</v>
      </c>
    </row>
    <row r="44" spans="1:16" x14ac:dyDescent="0.3">
      <c r="A44" t="s">
        <v>101</v>
      </c>
      <c r="B44" t="s">
        <v>55</v>
      </c>
      <c r="C44" s="14">
        <v>1349</v>
      </c>
      <c r="D44" s="14">
        <v>521</v>
      </c>
      <c r="E44" s="14">
        <v>1704</v>
      </c>
      <c r="F44" s="14">
        <v>1253</v>
      </c>
      <c r="G44" s="10">
        <f t="shared" ref="G44:L44" si="19">G31*G22</f>
        <v>1638.4643201259407</v>
      </c>
      <c r="H44" s="10">
        <f t="shared" si="19"/>
        <v>613.70862499616521</v>
      </c>
      <c r="I44" s="10">
        <f t="shared" si="19"/>
        <v>1836.4901012710559</v>
      </c>
      <c r="J44" s="10">
        <f t="shared" si="19"/>
        <v>1397.3774937255037</v>
      </c>
      <c r="K44" s="10">
        <f t="shared" si="19"/>
        <v>1819.4032880517846</v>
      </c>
      <c r="L44" s="10">
        <f t="shared" si="19"/>
        <v>684.85832093495674</v>
      </c>
      <c r="M44" s="14">
        <v>4613</v>
      </c>
      <c r="N44" s="10">
        <f>E44+F44+G44+H44</f>
        <v>5209.1729451221054</v>
      </c>
      <c r="O44" s="10">
        <f>I44+J44+K44+L44</f>
        <v>5738.1292039833006</v>
      </c>
      <c r="P44" s="3" t="s">
        <v>102</v>
      </c>
    </row>
    <row r="45" spans="1:16" x14ac:dyDescent="0.3">
      <c r="A45" t="s">
        <v>62</v>
      </c>
      <c r="B45" t="s">
        <v>55</v>
      </c>
      <c r="C45" s="14">
        <v>877</v>
      </c>
      <c r="D45" s="14">
        <v>1095</v>
      </c>
      <c r="E45" s="14">
        <v>1088</v>
      </c>
      <c r="F45" s="14">
        <v>1051</v>
      </c>
      <c r="G45" s="10">
        <f t="shared" ref="G45:L45" si="20">G19</f>
        <v>1050</v>
      </c>
      <c r="H45" s="10">
        <f t="shared" si="20"/>
        <v>1050</v>
      </c>
      <c r="I45" s="10">
        <f t="shared" si="20"/>
        <v>1050</v>
      </c>
      <c r="J45" s="10">
        <f t="shared" si="20"/>
        <v>1050</v>
      </c>
      <c r="K45" s="10">
        <f t="shared" si="20"/>
        <v>1050</v>
      </c>
      <c r="L45" s="10">
        <f t="shared" si="20"/>
        <v>1050</v>
      </c>
      <c r="M45" s="14">
        <v>3789</v>
      </c>
      <c r="N45" s="10">
        <f>E45+F45+G45+H45</f>
        <v>4239</v>
      </c>
      <c r="O45" s="10">
        <f>I45+J45+K45+L45</f>
        <v>4200</v>
      </c>
      <c r="P45" s="3" t="s">
        <v>76</v>
      </c>
    </row>
    <row r="46" spans="1:16" x14ac:dyDescent="0.3">
      <c r="A46" t="s">
        <v>103</v>
      </c>
      <c r="B46" t="s">
        <v>55</v>
      </c>
      <c r="C46" s="10"/>
      <c r="D46" s="10"/>
      <c r="E46" s="10"/>
      <c r="F46" s="10"/>
      <c r="G46" s="10">
        <f t="shared" ref="G46:L46" si="21">0.35*G32</f>
        <v>153.61500000000001</v>
      </c>
      <c r="H46" s="10">
        <f t="shared" si="21"/>
        <v>154</v>
      </c>
      <c r="I46" s="10">
        <f t="shared" si="21"/>
        <v>156.41499999999999</v>
      </c>
      <c r="J46" s="10">
        <f t="shared" si="21"/>
        <v>185.79050000000001</v>
      </c>
      <c r="K46" s="10">
        <f t="shared" si="21"/>
        <v>167.44035000000002</v>
      </c>
      <c r="L46" s="10">
        <f t="shared" si="21"/>
        <v>167.86</v>
      </c>
      <c r="M46" s="10"/>
      <c r="N46" s="10">
        <f>G46+H46</f>
        <v>307.61500000000001</v>
      </c>
      <c r="O46" s="10">
        <f>I46+J46+K46+L46</f>
        <v>677.50585000000001</v>
      </c>
      <c r="P46" s="3" t="s">
        <v>104</v>
      </c>
    </row>
    <row r="47" spans="1:16" x14ac:dyDescent="0.3">
      <c r="A47" t="s">
        <v>105</v>
      </c>
      <c r="B47" t="s">
        <v>55</v>
      </c>
      <c r="C47" s="14">
        <v>11684</v>
      </c>
      <c r="D47" s="14">
        <v>11014</v>
      </c>
      <c r="E47" s="14">
        <v>9530</v>
      </c>
      <c r="F47" s="14">
        <v>9593</v>
      </c>
      <c r="G47" s="10">
        <f t="shared" ref="G47:L47" si="22">F47+G44-G45-G46</f>
        <v>10027.849320125941</v>
      </c>
      <c r="H47" s="10">
        <f t="shared" si="22"/>
        <v>9437.5579451221056</v>
      </c>
      <c r="I47" s="10">
        <f t="shared" si="22"/>
        <v>10067.633046393161</v>
      </c>
      <c r="J47" s="10">
        <f t="shared" si="22"/>
        <v>10229.220040118666</v>
      </c>
      <c r="K47" s="10">
        <f t="shared" si="22"/>
        <v>10831.182978170449</v>
      </c>
      <c r="L47" s="10">
        <f t="shared" si="22"/>
        <v>10298.181299105405</v>
      </c>
      <c r="M47" s="10">
        <f>D47</f>
        <v>11014</v>
      </c>
      <c r="N47" s="10">
        <f>H47</f>
        <v>9437.5579451221056</v>
      </c>
      <c r="O47" s="10">
        <f>L47</f>
        <v>10298.181299105405</v>
      </c>
      <c r="P47" s="3" t="s">
        <v>106</v>
      </c>
    </row>
    <row r="49" spans="1:15" x14ac:dyDescent="0.3">
      <c r="A49" s="7" t="s">
        <v>107</v>
      </c>
    </row>
    <row r="50" spans="1:15" x14ac:dyDescent="0.3">
      <c r="A50" t="s">
        <v>108</v>
      </c>
      <c r="B50" t="s">
        <v>33</v>
      </c>
      <c r="C50" s="8"/>
      <c r="D50" s="8"/>
      <c r="E50" s="8"/>
      <c r="F50" s="8"/>
      <c r="G50" s="8">
        <f t="shared" ref="G50:L53" si="23">(G25/C25-1)*100</f>
        <v>10.000000000000009</v>
      </c>
      <c r="H50" s="8">
        <f t="shared" si="23"/>
        <v>8.4999999999999964</v>
      </c>
      <c r="I50" s="8">
        <f t="shared" si="23"/>
        <v>9.0000000000000071</v>
      </c>
      <c r="J50" s="8">
        <f t="shared" si="23"/>
        <v>9.0000000000000071</v>
      </c>
      <c r="K50" s="8">
        <f t="shared" si="23"/>
        <v>9.0000000000000071</v>
      </c>
      <c r="L50" s="8">
        <f t="shared" si="23"/>
        <v>9.0000000000000071</v>
      </c>
      <c r="M50" s="8"/>
      <c r="N50" s="8">
        <f t="shared" ref="N50:O53" si="24">(N25/M25-1)*100</f>
        <v>9.5162288930581873</v>
      </c>
      <c r="O50" s="8">
        <f t="shared" si="24"/>
        <v>8.9999999999999858</v>
      </c>
    </row>
    <row r="51" spans="1:15" x14ac:dyDescent="0.3">
      <c r="A51" t="s">
        <v>109</v>
      </c>
      <c r="B51" t="s">
        <v>33</v>
      </c>
      <c r="C51" s="8"/>
      <c r="D51" s="8"/>
      <c r="E51" s="8"/>
      <c r="F51" s="8"/>
      <c r="G51" s="8">
        <f t="shared" si="23"/>
        <v>13.639899999999994</v>
      </c>
      <c r="H51" s="8">
        <f t="shared" si="23"/>
        <v>10.767649999999996</v>
      </c>
      <c r="I51" s="8">
        <f t="shared" si="23"/>
        <v>11.278100000000002</v>
      </c>
      <c r="J51" s="8">
        <f t="shared" si="23"/>
        <v>11.725000000000009</v>
      </c>
      <c r="K51" s="8">
        <f t="shared" si="23"/>
        <v>12.50707499999999</v>
      </c>
      <c r="L51" s="8">
        <f t="shared" si="23"/>
        <v>11.725000000000009</v>
      </c>
      <c r="M51" s="8"/>
      <c r="N51" s="8">
        <f t="shared" si="24"/>
        <v>15.064897809227528</v>
      </c>
      <c r="O51" s="8">
        <f t="shared" si="24"/>
        <v>11.794509012811405</v>
      </c>
    </row>
    <row r="52" spans="1:15" x14ac:dyDescent="0.3">
      <c r="A52" t="s">
        <v>110</v>
      </c>
      <c r="B52" t="s">
        <v>33</v>
      </c>
      <c r="C52" s="8"/>
      <c r="D52" s="8"/>
      <c r="E52" s="8"/>
      <c r="F52" s="8"/>
      <c r="G52" s="8">
        <f t="shared" si="23"/>
        <v>3.3089999999999842</v>
      </c>
      <c r="H52" s="8">
        <f t="shared" si="23"/>
        <v>2.0899999999999919</v>
      </c>
      <c r="I52" s="8">
        <f t="shared" si="23"/>
        <v>2.0899999999999919</v>
      </c>
      <c r="J52" s="8">
        <f t="shared" si="23"/>
        <v>2.5000000000000133</v>
      </c>
      <c r="K52" s="8">
        <f t="shared" si="23"/>
        <v>3.2174999999999843</v>
      </c>
      <c r="L52" s="8">
        <f t="shared" si="23"/>
        <v>2.4999999999999911</v>
      </c>
      <c r="M52" s="8"/>
      <c r="N52" s="8">
        <f t="shared" si="24"/>
        <v>5.0665266438160383</v>
      </c>
      <c r="O52" s="8">
        <f t="shared" si="24"/>
        <v>2.5637697365242351</v>
      </c>
    </row>
    <row r="53" spans="1:15" x14ac:dyDescent="0.3">
      <c r="A53" t="s">
        <v>111</v>
      </c>
      <c r="B53" t="s">
        <v>33</v>
      </c>
      <c r="C53" s="8"/>
      <c r="D53" s="8"/>
      <c r="E53" s="8"/>
      <c r="F53" s="8"/>
      <c r="G53" s="8">
        <f t="shared" si="23"/>
        <v>15.506744099999992</v>
      </c>
      <c r="H53" s="8">
        <f t="shared" si="23"/>
        <v>10.192570162499992</v>
      </c>
      <c r="I53" s="8">
        <f t="shared" si="23"/>
        <v>10.607750000000005</v>
      </c>
      <c r="J53" s="8">
        <f t="shared" si="23"/>
        <v>10.831199999999995</v>
      </c>
      <c r="K53" s="8">
        <f t="shared" si="23"/>
        <v>11.054650000000009</v>
      </c>
      <c r="L53" s="8">
        <f t="shared" si="23"/>
        <v>11.613275000000002</v>
      </c>
      <c r="M53" s="8"/>
      <c r="N53" s="8">
        <f t="shared" si="24"/>
        <v>15.000006290411317</v>
      </c>
      <c r="O53" s="8">
        <f t="shared" si="24"/>
        <v>11.033838181615629</v>
      </c>
    </row>
    <row r="54" spans="1:15" x14ac:dyDescent="0.3">
      <c r="A54" t="s">
        <v>112</v>
      </c>
      <c r="B54" t="s">
        <v>33</v>
      </c>
      <c r="C54" s="8"/>
      <c r="D54" s="8"/>
      <c r="E54" s="8"/>
      <c r="F54" s="8"/>
      <c r="G54" s="8">
        <f t="shared" ref="G54:L54" si="25">(G31/C31-1)*100</f>
        <v>14.123028496617728</v>
      </c>
      <c r="H54" s="8">
        <f t="shared" si="25"/>
        <v>11.542825335544382</v>
      </c>
      <c r="I54" s="8">
        <f t="shared" si="25"/>
        <v>10.578642899268775</v>
      </c>
      <c r="J54" s="8">
        <f t="shared" si="25"/>
        <v>10.815027258168408</v>
      </c>
      <c r="K54" s="8">
        <f t="shared" si="25"/>
        <v>11.043204646161353</v>
      </c>
      <c r="L54" s="8">
        <f t="shared" si="25"/>
        <v>11.593400033971513</v>
      </c>
      <c r="M54" s="8"/>
      <c r="N54" s="8">
        <f>(N31/M31-1)*100</f>
        <v>16.299509462485663</v>
      </c>
      <c r="O54" s="8">
        <f>(O31/N31-1)*100</f>
        <v>11.033906132735783</v>
      </c>
    </row>
    <row r="55" spans="1:15" x14ac:dyDescent="0.3">
      <c r="A55" t="s">
        <v>113</v>
      </c>
      <c r="B55" t="s">
        <v>33</v>
      </c>
      <c r="C55" s="12"/>
      <c r="D55" s="12"/>
      <c r="E55" s="12"/>
      <c r="F55" s="12"/>
      <c r="G55" s="12">
        <f t="shared" ref="G55:L55" si="26">(G43/C43-1)*100</f>
        <v>25.742293859423992</v>
      </c>
      <c r="H55" s="12">
        <f t="shared" si="26"/>
        <v>38.104639830830031</v>
      </c>
      <c r="I55" s="12">
        <f t="shared" si="26"/>
        <v>26.426643912936875</v>
      </c>
      <c r="J55" s="12">
        <f t="shared" si="26"/>
        <v>0.4324802595297772</v>
      </c>
      <c r="K55" s="12">
        <f t="shared" si="26"/>
        <v>13.594098091535756</v>
      </c>
      <c r="L55" s="12">
        <f t="shared" si="26"/>
        <v>13.263491518410241</v>
      </c>
      <c r="M55" s="12"/>
      <c r="N55" s="12">
        <f>(N43/M43-1)*100</f>
        <v>27.972919651225546</v>
      </c>
      <c r="O55" s="12">
        <f>(O43/N43-1)*100</f>
        <v>10.957053920406112</v>
      </c>
    </row>
    <row r="56" spans="1:15" x14ac:dyDescent="0.3">
      <c r="A56" t="s">
        <v>114</v>
      </c>
      <c r="B56" t="s">
        <v>47</v>
      </c>
      <c r="C56" s="8"/>
      <c r="D56" s="8"/>
      <c r="E56" s="8"/>
      <c r="F56" s="8"/>
      <c r="G56" s="8">
        <f t="shared" ref="G56:L57" si="27">G29-C29</f>
        <v>0.29386467105759451</v>
      </c>
      <c r="H56" s="8">
        <f t="shared" si="27"/>
        <v>-7.0699651547364795E-2</v>
      </c>
      <c r="I56" s="8">
        <f t="shared" si="27"/>
        <v>-5.5272998665438777E-2</v>
      </c>
      <c r="J56" s="8">
        <f t="shared" si="27"/>
        <v>-0.10593459830440111</v>
      </c>
      <c r="K56" s="8">
        <f t="shared" si="27"/>
        <v>-0.23472564973058496</v>
      </c>
      <c r="L56" s="8">
        <f t="shared" si="27"/>
        <v>-1.3546947407277798E-2</v>
      </c>
      <c r="M56" s="8"/>
      <c r="N56" s="8">
        <f>N29-M29</f>
        <v>-7.5618709138165485E-3</v>
      </c>
      <c r="O56" s="8">
        <f>O29-N29</f>
        <v>-9.1183335452049263E-2</v>
      </c>
    </row>
    <row r="57" spans="1:15" x14ac:dyDescent="0.3">
      <c r="A57" t="s">
        <v>115</v>
      </c>
      <c r="B57" t="s">
        <v>47</v>
      </c>
      <c r="C57" s="8"/>
      <c r="D57" s="8"/>
      <c r="E57" s="8"/>
      <c r="F57" s="8"/>
      <c r="G57" s="8">
        <f t="shared" si="27"/>
        <v>-0.60000000000000142</v>
      </c>
      <c r="H57" s="8">
        <f t="shared" si="27"/>
        <v>0.34669999999999845</v>
      </c>
      <c r="I57" s="8">
        <f t="shared" si="27"/>
        <v>-5.0999999999987722E-3</v>
      </c>
      <c r="J57" s="8">
        <f t="shared" si="27"/>
        <v>-5.0999999999987722E-3</v>
      </c>
      <c r="K57" s="8">
        <f t="shared" si="27"/>
        <v>-5.0999999999987722E-3</v>
      </c>
      <c r="L57" s="8">
        <f t="shared" si="27"/>
        <v>-5.0999999999987722E-3</v>
      </c>
      <c r="M57" s="8"/>
      <c r="N57" s="8">
        <f>N30-M30</f>
        <v>0.39666870246924191</v>
      </c>
      <c r="O57" s="8">
        <f>O30-N30</f>
        <v>2.1725498100977347E-5</v>
      </c>
    </row>
    <row r="59" spans="1:15" x14ac:dyDescent="0.3">
      <c r="A59" t="s">
        <v>116</v>
      </c>
      <c r="C59" t="str">
        <f>IF(G28&lt;4690,"BELOW guide",IF(G28&gt;4770,"ABOVE guide top by "&amp;TEXT(G28/4770-1,"0.0%"),"within guide"))</f>
        <v>within guide</v>
      </c>
    </row>
    <row r="60" spans="1:15" x14ac:dyDescent="0.3">
      <c r="A60" t="s">
        <v>117</v>
      </c>
      <c r="C60" t="str">
        <f>IF(N53&gt;=15,"met: "&amp;TEXT(N53,"0.0")&amp;"%","BELOW: "&amp;TEXT(N53,"0.0")&amp;"%")</f>
        <v>met: 15.0%</v>
      </c>
    </row>
    <row r="61" spans="1:15" x14ac:dyDescent="0.3">
      <c r="A61" t="s">
        <v>118</v>
      </c>
      <c r="C61" t="str">
        <f>IF(N30&gt;=35.5,"met: "&amp;TEXT(N30,"0.0")&amp;"%","BELOW: "&amp;TEXT(N30,"0.0")&amp;"%")</f>
        <v>met: 35.5%</v>
      </c>
    </row>
    <row r="62" spans="1:15" x14ac:dyDescent="0.3">
      <c r="A62" t="s">
        <v>119</v>
      </c>
      <c r="C62" t="str">
        <f>TEXT(N29-13.41,"+0.00;-0.00")&amp;" pts vs FY25"</f>
        <v>-0.01 pts vs FY25</v>
      </c>
    </row>
    <row r="63" spans="1:15" x14ac:dyDescent="0.3">
      <c r="A63" t="s">
        <v>120</v>
      </c>
      <c r="C63" t="str">
        <f>TEXT(G30-C30,"+0.0;-0.0")&amp;" pts y/y"</f>
        <v>-0.6 pts y/y</v>
      </c>
    </row>
    <row r="64" spans="1:15" x14ac:dyDescent="0.3">
      <c r="A64" t="s">
        <v>121</v>
      </c>
      <c r="C64" t="str">
        <f>IF(SUM(G45:J45)&gt;3400,"needs new authorisation: $"&amp;TEXT(SUM(G45:J45),"#,##0")&amp;"M planned vs $3,400M left","inside authorisation")</f>
        <v>needs new authorisation: $4,200M planned vs $3,400M left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15" width="10" customWidth="1"/>
    <col min="16" max="16" width="120" customWidth="1"/>
  </cols>
  <sheetData>
    <row r="1" spans="1:16" ht="17.399999999999999" customHeight="1" x14ac:dyDescent="0.35">
      <c r="A1" s="2" t="s">
        <v>122</v>
      </c>
    </row>
    <row r="2" spans="1:16" x14ac:dyDescent="0.3">
      <c r="A2" s="3" t="s">
        <v>123</v>
      </c>
    </row>
    <row r="3" spans="1:16" x14ac:dyDescent="0.3">
      <c r="A3" s="3" t="s">
        <v>14</v>
      </c>
    </row>
    <row r="5" spans="1:16" x14ac:dyDescent="0.3">
      <c r="A5" s="4" t="s">
        <v>15</v>
      </c>
      <c r="B5" s="5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  <c r="O5" s="6" t="s">
        <v>29</v>
      </c>
      <c r="P5" s="4" t="s">
        <v>30</v>
      </c>
    </row>
    <row r="6" spans="1:16" x14ac:dyDescent="0.3">
      <c r="A6" s="7" t="s">
        <v>31</v>
      </c>
    </row>
    <row r="7" spans="1:16" x14ac:dyDescent="0.3">
      <c r="A7" t="s">
        <v>32</v>
      </c>
      <c r="B7" t="s">
        <v>33</v>
      </c>
      <c r="C7" s="8"/>
      <c r="D7" s="8"/>
      <c r="E7" s="8"/>
      <c r="F7" s="8"/>
      <c r="G7" s="9">
        <v>11.5</v>
      </c>
      <c r="H7" s="9">
        <v>10.5</v>
      </c>
      <c r="I7" s="9">
        <v>10</v>
      </c>
      <c r="J7" s="9">
        <v>10</v>
      </c>
      <c r="K7" s="9">
        <v>10</v>
      </c>
      <c r="L7" s="9">
        <v>10</v>
      </c>
      <c r="M7" s="8"/>
      <c r="N7" s="8"/>
      <c r="O7" s="8"/>
      <c r="P7" s="3" t="s">
        <v>34</v>
      </c>
    </row>
    <row r="8" spans="1:16" x14ac:dyDescent="0.3">
      <c r="A8" t="s">
        <v>35</v>
      </c>
      <c r="B8" t="s">
        <v>33</v>
      </c>
      <c r="C8" s="8"/>
      <c r="D8" s="8"/>
      <c r="E8" s="8"/>
      <c r="F8" s="8"/>
      <c r="G8" s="9">
        <v>3.5</v>
      </c>
      <c r="H8" s="9">
        <v>3</v>
      </c>
      <c r="I8" s="9">
        <v>3</v>
      </c>
      <c r="J8" s="9">
        <v>3</v>
      </c>
      <c r="K8" s="9">
        <v>3</v>
      </c>
      <c r="L8" s="9">
        <v>3</v>
      </c>
      <c r="M8" s="8"/>
      <c r="N8" s="8"/>
      <c r="O8" s="8"/>
      <c r="P8" s="3" t="s">
        <v>36</v>
      </c>
    </row>
    <row r="9" spans="1:16" x14ac:dyDescent="0.3">
      <c r="A9" t="s">
        <v>37</v>
      </c>
      <c r="B9" t="s">
        <v>38</v>
      </c>
      <c r="C9" s="8"/>
      <c r="D9" s="8"/>
      <c r="E9" s="8"/>
      <c r="F9" s="8"/>
      <c r="G9" s="9">
        <v>0.3</v>
      </c>
      <c r="H9" s="9">
        <v>-0.4</v>
      </c>
      <c r="I9" s="9">
        <v>-0.4</v>
      </c>
      <c r="J9" s="9">
        <v>0</v>
      </c>
      <c r="K9" s="9">
        <v>0.7</v>
      </c>
      <c r="L9" s="9">
        <v>0</v>
      </c>
      <c r="M9" s="8"/>
      <c r="N9" s="8"/>
      <c r="O9" s="8"/>
      <c r="P9" s="3" t="s">
        <v>39</v>
      </c>
    </row>
    <row r="10" spans="1:16" x14ac:dyDescent="0.3">
      <c r="A10" t="s">
        <v>40</v>
      </c>
      <c r="B10" t="s">
        <v>33</v>
      </c>
      <c r="C10" s="8"/>
      <c r="D10" s="8"/>
      <c r="E10" s="8"/>
      <c r="F10" s="8"/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8"/>
      <c r="N10" s="8"/>
      <c r="O10" s="8"/>
      <c r="P10" s="3" t="s">
        <v>41</v>
      </c>
    </row>
    <row r="11" spans="1:16" x14ac:dyDescent="0.3">
      <c r="A11" t="s">
        <v>42</v>
      </c>
      <c r="B11" t="s">
        <v>38</v>
      </c>
      <c r="C11" s="8"/>
      <c r="D11" s="8"/>
      <c r="E11" s="8"/>
      <c r="F11" s="8"/>
      <c r="G11" s="9">
        <v>3</v>
      </c>
      <c r="H11" s="9">
        <v>-0.4</v>
      </c>
      <c r="I11" s="9">
        <v>-1</v>
      </c>
      <c r="J11" s="9">
        <v>-0.8</v>
      </c>
      <c r="K11" s="9">
        <v>-0.6</v>
      </c>
      <c r="L11" s="9">
        <v>-0.1</v>
      </c>
      <c r="M11" s="8"/>
      <c r="N11" s="8"/>
      <c r="O11" s="8"/>
      <c r="P11" s="3" t="s">
        <v>43</v>
      </c>
    </row>
    <row r="12" spans="1:16" x14ac:dyDescent="0.3">
      <c r="A12" t="s">
        <v>44</v>
      </c>
      <c r="B12" t="s">
        <v>38</v>
      </c>
      <c r="C12" s="8"/>
      <c r="D12" s="8"/>
      <c r="E12" s="8"/>
      <c r="F12" s="8"/>
      <c r="G12" s="9">
        <v>-1.1081000000000001</v>
      </c>
      <c r="H12" s="9">
        <v>-0.6</v>
      </c>
      <c r="I12" s="9">
        <v>0</v>
      </c>
      <c r="J12" s="9">
        <v>0</v>
      </c>
      <c r="K12" s="9">
        <v>0</v>
      </c>
      <c r="L12" s="9">
        <v>0</v>
      </c>
      <c r="M12" s="8"/>
      <c r="N12" s="8"/>
      <c r="O12" s="8"/>
      <c r="P12" s="3" t="s">
        <v>45</v>
      </c>
    </row>
    <row r="13" spans="1:16" x14ac:dyDescent="0.3">
      <c r="A13" t="s">
        <v>46</v>
      </c>
      <c r="B13" t="s">
        <v>47</v>
      </c>
      <c r="C13" s="8"/>
      <c r="D13" s="8"/>
      <c r="E13" s="8"/>
      <c r="F13" s="8"/>
      <c r="G13" s="9">
        <v>-0.1</v>
      </c>
      <c r="H13" s="9">
        <v>2.5308999999999999</v>
      </c>
      <c r="I13" s="9">
        <v>-7.4000000000000003E-3</v>
      </c>
      <c r="J13" s="9">
        <v>-7.4000000000000003E-3</v>
      </c>
      <c r="K13" s="9">
        <v>-7.4000000000000003E-3</v>
      </c>
      <c r="L13" s="9">
        <v>-7.4000000000000003E-3</v>
      </c>
      <c r="M13" s="8"/>
      <c r="N13" s="8"/>
      <c r="O13" s="8"/>
      <c r="P13" s="3" t="s">
        <v>48</v>
      </c>
    </row>
    <row r="14" spans="1:16" x14ac:dyDescent="0.3">
      <c r="A14" t="s">
        <v>49</v>
      </c>
      <c r="B14" t="s">
        <v>33</v>
      </c>
      <c r="C14" s="8"/>
      <c r="D14" s="8"/>
      <c r="E14" s="8"/>
      <c r="F14" s="8"/>
      <c r="G14" s="9">
        <v>10</v>
      </c>
      <c r="H14" s="9">
        <v>10</v>
      </c>
      <c r="I14" s="9">
        <v>9</v>
      </c>
      <c r="J14" s="9">
        <v>9</v>
      </c>
      <c r="K14" s="9">
        <v>9</v>
      </c>
      <c r="L14" s="9">
        <v>9</v>
      </c>
      <c r="M14" s="8"/>
      <c r="N14" s="8"/>
      <c r="O14" s="8"/>
      <c r="P14" s="3" t="s">
        <v>50</v>
      </c>
    </row>
    <row r="15" spans="1:16" x14ac:dyDescent="0.3">
      <c r="A15" t="s">
        <v>51</v>
      </c>
      <c r="B15" t="s">
        <v>52</v>
      </c>
      <c r="C15" s="8"/>
      <c r="D15" s="8"/>
      <c r="E15" s="8"/>
      <c r="F15" s="8"/>
      <c r="G15" s="9">
        <v>0.65</v>
      </c>
      <c r="H15" s="9">
        <v>0.65</v>
      </c>
      <c r="I15" s="9">
        <v>0.65</v>
      </c>
      <c r="J15" s="9">
        <v>0.65</v>
      </c>
      <c r="K15" s="9">
        <v>0.65</v>
      </c>
      <c r="L15" s="9">
        <v>0.65</v>
      </c>
      <c r="M15" s="8"/>
      <c r="N15" s="8"/>
      <c r="O15" s="8"/>
      <c r="P15" s="3" t="s">
        <v>53</v>
      </c>
    </row>
    <row r="16" spans="1:16" x14ac:dyDescent="0.3">
      <c r="A16" t="s">
        <v>54</v>
      </c>
      <c r="B16" t="s">
        <v>55</v>
      </c>
      <c r="C16" s="10"/>
      <c r="D16" s="10"/>
      <c r="E16" s="10"/>
      <c r="F16" s="10"/>
      <c r="G16" s="11">
        <v>170</v>
      </c>
      <c r="H16" s="11">
        <v>165</v>
      </c>
      <c r="I16" s="11">
        <v>160</v>
      </c>
      <c r="J16" s="11">
        <v>160</v>
      </c>
      <c r="K16" s="11">
        <v>160</v>
      </c>
      <c r="L16" s="11">
        <v>160</v>
      </c>
      <c r="M16" s="10"/>
      <c r="N16" s="10"/>
      <c r="O16" s="10"/>
      <c r="P16" s="3" t="s">
        <v>56</v>
      </c>
    </row>
    <row r="17" spans="1:16" x14ac:dyDescent="0.3">
      <c r="A17" t="s">
        <v>57</v>
      </c>
      <c r="B17" t="s">
        <v>55</v>
      </c>
      <c r="C17" s="10"/>
      <c r="D17" s="10"/>
      <c r="E17" s="10"/>
      <c r="F17" s="10"/>
      <c r="G17" s="11">
        <v>31</v>
      </c>
      <c r="H17" s="11">
        <v>31</v>
      </c>
      <c r="I17" s="11">
        <v>31</v>
      </c>
      <c r="J17" s="11">
        <v>31</v>
      </c>
      <c r="K17" s="11">
        <v>31</v>
      </c>
      <c r="L17" s="11">
        <v>31</v>
      </c>
      <c r="M17" s="10"/>
      <c r="N17" s="10"/>
      <c r="O17" s="10"/>
      <c r="P17" s="3" t="s">
        <v>58</v>
      </c>
    </row>
    <row r="18" spans="1:16" x14ac:dyDescent="0.3">
      <c r="A18" t="s">
        <v>59</v>
      </c>
      <c r="B18" t="s">
        <v>60</v>
      </c>
      <c r="C18" s="8"/>
      <c r="D18" s="8"/>
      <c r="E18" s="8"/>
      <c r="F18" s="8"/>
      <c r="G18" s="9">
        <v>18</v>
      </c>
      <c r="H18" s="9">
        <v>18</v>
      </c>
      <c r="I18" s="9">
        <v>18</v>
      </c>
      <c r="J18" s="9">
        <v>18</v>
      </c>
      <c r="K18" s="9">
        <v>18</v>
      </c>
      <c r="L18" s="9">
        <v>18</v>
      </c>
      <c r="M18" s="8"/>
      <c r="N18" s="8"/>
      <c r="O18" s="8"/>
      <c r="P18" s="3" t="s">
        <v>61</v>
      </c>
    </row>
    <row r="19" spans="1:16" x14ac:dyDescent="0.3">
      <c r="A19" t="s">
        <v>62</v>
      </c>
      <c r="B19" t="s">
        <v>55</v>
      </c>
      <c r="C19" s="10"/>
      <c r="D19" s="10"/>
      <c r="E19" s="10"/>
      <c r="F19" s="10"/>
      <c r="G19" s="11">
        <v>1050</v>
      </c>
      <c r="H19" s="11">
        <v>1050</v>
      </c>
      <c r="I19" s="11">
        <v>1050</v>
      </c>
      <c r="J19" s="11">
        <v>1050</v>
      </c>
      <c r="K19" s="11">
        <v>1050</v>
      </c>
      <c r="L19" s="11">
        <v>1050</v>
      </c>
      <c r="M19" s="10"/>
      <c r="N19" s="10"/>
      <c r="O19" s="10"/>
      <c r="P19" s="3" t="s">
        <v>63</v>
      </c>
    </row>
    <row r="20" spans="1:16" x14ac:dyDescent="0.3">
      <c r="A20" t="s">
        <v>64</v>
      </c>
      <c r="B20" t="s">
        <v>65</v>
      </c>
      <c r="C20" s="12"/>
      <c r="D20" s="12"/>
      <c r="E20" s="12"/>
      <c r="F20" s="12"/>
      <c r="G20" s="13">
        <v>170.19</v>
      </c>
      <c r="H20" s="13">
        <v>172.23230000000001</v>
      </c>
      <c r="I20" s="13">
        <v>174.29910000000001</v>
      </c>
      <c r="J20" s="13">
        <v>176.39070000000001</v>
      </c>
      <c r="K20" s="13">
        <v>178.50729999999999</v>
      </c>
      <c r="L20" s="13">
        <v>180.64940000000001</v>
      </c>
      <c r="M20" s="12"/>
      <c r="N20" s="12"/>
      <c r="O20" s="12"/>
      <c r="P20" s="3" t="s">
        <v>66</v>
      </c>
    </row>
    <row r="21" spans="1:16" x14ac:dyDescent="0.3">
      <c r="A21" t="s">
        <v>67</v>
      </c>
      <c r="B21" t="s">
        <v>68</v>
      </c>
      <c r="C21" s="10"/>
      <c r="D21" s="10"/>
      <c r="E21" s="10"/>
      <c r="F21" s="10"/>
      <c r="G21" s="11">
        <v>1.6</v>
      </c>
      <c r="H21" s="11">
        <v>1.6</v>
      </c>
      <c r="I21" s="11">
        <v>1.6</v>
      </c>
      <c r="J21" s="11">
        <v>1.6</v>
      </c>
      <c r="K21" s="11">
        <v>1.6</v>
      </c>
      <c r="L21" s="11">
        <v>1.6</v>
      </c>
      <c r="M21" s="10"/>
      <c r="N21" s="10"/>
      <c r="O21" s="10"/>
      <c r="P21" s="3" t="s">
        <v>69</v>
      </c>
    </row>
    <row r="22" spans="1:16" x14ac:dyDescent="0.3">
      <c r="A22" t="s">
        <v>70</v>
      </c>
      <c r="B22" t="s">
        <v>71</v>
      </c>
      <c r="C22" s="8"/>
      <c r="D22" s="8"/>
      <c r="E22" s="8"/>
      <c r="F22" s="8"/>
      <c r="G22" s="9">
        <v>0.7</v>
      </c>
      <c r="H22" s="9">
        <v>0.7</v>
      </c>
      <c r="I22" s="9">
        <v>3.2</v>
      </c>
      <c r="J22" s="9">
        <v>1</v>
      </c>
      <c r="K22" s="9">
        <v>0.7</v>
      </c>
      <c r="L22" s="9">
        <v>0.7</v>
      </c>
      <c r="M22" s="8"/>
      <c r="N22" s="8"/>
      <c r="O22" s="8"/>
      <c r="P22" s="3" t="s">
        <v>72</v>
      </c>
    </row>
    <row r="24" spans="1:16" x14ac:dyDescent="0.3">
      <c r="A24" s="7" t="s">
        <v>73</v>
      </c>
    </row>
    <row r="25" spans="1:16" x14ac:dyDescent="0.3">
      <c r="A25" t="s">
        <v>74</v>
      </c>
      <c r="B25" t="s">
        <v>75</v>
      </c>
      <c r="C25" s="14">
        <v>133.6</v>
      </c>
      <c r="D25" s="14">
        <v>121.9</v>
      </c>
      <c r="E25" s="14">
        <v>156.19999999999999</v>
      </c>
      <c r="F25" s="14">
        <v>148.30000000000001</v>
      </c>
      <c r="G25" s="10">
        <f t="shared" ref="G25:L25" si="0">C25*(1+G7/100)</f>
        <v>148.964</v>
      </c>
      <c r="H25" s="10">
        <f t="shared" si="0"/>
        <v>134.6995</v>
      </c>
      <c r="I25" s="10">
        <f t="shared" si="0"/>
        <v>171.82</v>
      </c>
      <c r="J25" s="10">
        <f t="shared" si="0"/>
        <v>163.13000000000002</v>
      </c>
      <c r="K25" s="10">
        <f t="shared" si="0"/>
        <v>163.8604</v>
      </c>
      <c r="L25" s="10">
        <f t="shared" si="0"/>
        <v>148.16945000000001</v>
      </c>
      <c r="M25" s="14">
        <v>533</v>
      </c>
      <c r="N25" s="10">
        <f>E25+F25+G25+H25</f>
        <v>588.1635</v>
      </c>
      <c r="O25" s="10">
        <f>I25+J25+K25+L25</f>
        <v>646.97985000000006</v>
      </c>
      <c r="P25" s="3" t="s">
        <v>76</v>
      </c>
    </row>
    <row r="26" spans="1:16" x14ac:dyDescent="0.3">
      <c r="A26" t="s">
        <v>77</v>
      </c>
      <c r="B26" t="s">
        <v>55</v>
      </c>
      <c r="C26" s="14">
        <v>22892</v>
      </c>
      <c r="D26" s="14">
        <v>20400</v>
      </c>
      <c r="E26" s="14">
        <v>29187</v>
      </c>
      <c r="F26" s="14">
        <v>27247</v>
      </c>
      <c r="G26" s="10">
        <f t="shared" ref="G26:L26" si="1">C26*(1+G7/100)*(1+G8/100)*(1+G9/100)</f>
        <v>26497.194120899992</v>
      </c>
      <c r="H26" s="10">
        <f t="shared" si="1"/>
        <v>23125.386960000003</v>
      </c>
      <c r="I26" s="10">
        <f t="shared" si="1"/>
        <v>32936.595516000009</v>
      </c>
      <c r="J26" s="10">
        <f t="shared" si="1"/>
        <v>30870.851000000002</v>
      </c>
      <c r="K26" s="10">
        <f t="shared" si="1"/>
        <v>30231.470185552549</v>
      </c>
      <c r="L26" s="10">
        <f t="shared" si="1"/>
        <v>26201.063425680008</v>
      </c>
      <c r="M26" s="14">
        <v>91292</v>
      </c>
      <c r="N26" s="10">
        <f>E26+F26+G26+H26</f>
        <v>106056.5810809</v>
      </c>
      <c r="O26" s="10">
        <f>I26+J26+K26+L26</f>
        <v>120239.98012723257</v>
      </c>
      <c r="P26" s="3" t="s">
        <v>78</v>
      </c>
    </row>
    <row r="27" spans="1:16" x14ac:dyDescent="0.3">
      <c r="A27" t="s">
        <v>79</v>
      </c>
      <c r="B27" t="s">
        <v>65</v>
      </c>
      <c r="C27" s="8">
        <f t="shared" ref="C27:O27" si="2">C26/C25</f>
        <v>171.34730538922156</v>
      </c>
      <c r="D27" s="8">
        <f t="shared" si="2"/>
        <v>167.35028712059065</v>
      </c>
      <c r="E27" s="8">
        <f t="shared" si="2"/>
        <v>186.85659411011525</v>
      </c>
      <c r="F27" s="8">
        <f t="shared" si="2"/>
        <v>183.72892784895481</v>
      </c>
      <c r="G27" s="8">
        <f t="shared" si="2"/>
        <v>177.87649446107778</v>
      </c>
      <c r="H27" s="8">
        <f t="shared" si="2"/>
        <v>171.68131255127156</v>
      </c>
      <c r="I27" s="8">
        <f t="shared" si="2"/>
        <v>191.69244276568509</v>
      </c>
      <c r="J27" s="8">
        <f t="shared" si="2"/>
        <v>189.24079568442346</v>
      </c>
      <c r="K27" s="8">
        <f t="shared" si="2"/>
        <v>184.49527881997449</v>
      </c>
      <c r="L27" s="8">
        <f t="shared" si="2"/>
        <v>176.83175192780971</v>
      </c>
      <c r="M27" s="8">
        <f t="shared" si="2"/>
        <v>171.27954971857412</v>
      </c>
      <c r="N27" s="8">
        <f t="shared" si="2"/>
        <v>180.31819567331192</v>
      </c>
      <c r="O27" s="8">
        <f t="shared" si="2"/>
        <v>185.84810659440564</v>
      </c>
    </row>
    <row r="28" spans="1:16" x14ac:dyDescent="0.3">
      <c r="A28" t="s">
        <v>80</v>
      </c>
      <c r="B28" t="s">
        <v>55</v>
      </c>
      <c r="C28" s="14">
        <v>4095</v>
      </c>
      <c r="D28" s="14">
        <v>2778</v>
      </c>
      <c r="E28" s="14">
        <v>2678</v>
      </c>
      <c r="F28" s="14">
        <v>3608</v>
      </c>
      <c r="G28" s="10">
        <f t="shared" ref="G28:L28" si="3">C28*(1+G7/100)*(1+G8/100)*(1+G10/100)*(1+(G11+G12)/100)</f>
        <v>4815.1385058026244</v>
      </c>
      <c r="H28" s="10">
        <f t="shared" si="3"/>
        <v>3130.1628930000002</v>
      </c>
      <c r="I28" s="10">
        <f t="shared" si="3"/>
        <v>3003.8322600000006</v>
      </c>
      <c r="J28" s="10">
        <f t="shared" si="3"/>
        <v>4055.1610880000003</v>
      </c>
      <c r="K28" s="10">
        <f t="shared" si="3"/>
        <v>5422.8186155119274</v>
      </c>
      <c r="L28" s="10">
        <f t="shared" si="3"/>
        <v>3542.9280832112313</v>
      </c>
      <c r="M28" s="14">
        <v>12241</v>
      </c>
      <c r="N28" s="10">
        <f>E28+F28+G28+H28</f>
        <v>14231.301398802625</v>
      </c>
      <c r="O28" s="10">
        <f>I28+J28+K28+L28</f>
        <v>16024.74004672316</v>
      </c>
      <c r="P28" s="3" t="s">
        <v>76</v>
      </c>
    </row>
    <row r="29" spans="1:16" x14ac:dyDescent="0.3">
      <c r="A29" t="s">
        <v>81</v>
      </c>
      <c r="B29" t="s">
        <v>60</v>
      </c>
      <c r="C29" s="8">
        <f t="shared" ref="C29:O29" si="4">C28/C26*100</f>
        <v>17.888345273457976</v>
      </c>
      <c r="D29" s="8">
        <f t="shared" si="4"/>
        <v>13.617647058823529</v>
      </c>
      <c r="E29" s="8">
        <f t="shared" si="4"/>
        <v>9.1753177784630147</v>
      </c>
      <c r="F29" s="8">
        <f t="shared" si="4"/>
        <v>13.24182478805006</v>
      </c>
      <c r="G29" s="8">
        <f t="shared" si="4"/>
        <v>18.1722581033764</v>
      </c>
      <c r="H29" s="8">
        <f t="shared" si="4"/>
        <v>13.53561304039688</v>
      </c>
      <c r="I29" s="8">
        <f t="shared" si="4"/>
        <v>9.1200447797975741</v>
      </c>
      <c r="J29" s="8">
        <f t="shared" si="4"/>
        <v>13.135890189745661</v>
      </c>
      <c r="K29" s="8">
        <f t="shared" si="4"/>
        <v>17.937660928258335</v>
      </c>
      <c r="L29" s="8">
        <f t="shared" si="4"/>
        <v>13.522077427356482</v>
      </c>
      <c r="M29" s="8">
        <f t="shared" si="4"/>
        <v>13.40862288042764</v>
      </c>
      <c r="N29" s="8">
        <f t="shared" si="4"/>
        <v>13.418593409066226</v>
      </c>
      <c r="O29" s="8">
        <f t="shared" si="4"/>
        <v>13.327297650720249</v>
      </c>
      <c r="P29" s="3" t="s">
        <v>82</v>
      </c>
    </row>
    <row r="30" spans="1:16" x14ac:dyDescent="0.3">
      <c r="A30" t="s">
        <v>83</v>
      </c>
      <c r="B30" t="s">
        <v>60</v>
      </c>
      <c r="C30" s="8">
        <f>C31/C28*100</f>
        <v>50.085470085470085</v>
      </c>
      <c r="D30" s="8">
        <f>D31/D28*100</f>
        <v>28.293736501079913</v>
      </c>
      <c r="E30" s="8">
        <f>E31/E28*100</f>
        <v>19.380134428678115</v>
      </c>
      <c r="F30" s="8">
        <f>F31/F28*100</f>
        <v>34.950110864745007</v>
      </c>
      <c r="G30" s="8">
        <f t="shared" ref="G30:L30" si="5">C30+G13</f>
        <v>49.985470085470084</v>
      </c>
      <c r="H30" s="8">
        <f t="shared" si="5"/>
        <v>30.824636501079912</v>
      </c>
      <c r="I30" s="8">
        <f t="shared" si="5"/>
        <v>19.372734428678115</v>
      </c>
      <c r="J30" s="8">
        <f t="shared" si="5"/>
        <v>34.94271086474501</v>
      </c>
      <c r="K30" s="8">
        <f t="shared" si="5"/>
        <v>49.978070085470087</v>
      </c>
      <c r="L30" s="8">
        <f t="shared" si="5"/>
        <v>30.817236501079911</v>
      </c>
      <c r="M30" s="8">
        <f>M31/M28*100</f>
        <v>35.10334123029164</v>
      </c>
      <c r="N30" s="8">
        <f>N31/N28*100</f>
        <v>36.199998908633248</v>
      </c>
      <c r="O30" s="8">
        <f>O31/O28*100</f>
        <v>36.200027322211177</v>
      </c>
    </row>
    <row r="31" spans="1:16" x14ac:dyDescent="0.3">
      <c r="A31" t="s">
        <v>84</v>
      </c>
      <c r="B31" t="s">
        <v>55</v>
      </c>
      <c r="C31" s="14">
        <v>2051</v>
      </c>
      <c r="D31" s="14">
        <v>786</v>
      </c>
      <c r="E31" s="14">
        <v>519</v>
      </c>
      <c r="F31" s="14">
        <v>1261</v>
      </c>
      <c r="G31" s="10">
        <f t="shared" ref="G31:L31" si="6">G28*G30/100</f>
        <v>2406.869617391922</v>
      </c>
      <c r="H31" s="10">
        <f t="shared" si="6"/>
        <v>964.86133365893693</v>
      </c>
      <c r="I31" s="10">
        <f t="shared" si="6"/>
        <v>581.92444641276006</v>
      </c>
      <c r="J31" s="10">
        <f t="shared" si="6"/>
        <v>1416.9832140794879</v>
      </c>
      <c r="K31" s="10">
        <f t="shared" si="6"/>
        <v>2710.2200882684697</v>
      </c>
      <c r="L31" s="10">
        <f t="shared" si="6"/>
        <v>1091.8325264663824</v>
      </c>
      <c r="M31" s="14">
        <v>4297</v>
      </c>
      <c r="N31" s="10">
        <f t="shared" ref="N31:N38" si="7">E31+F31+G31+H31</f>
        <v>5151.7309510508585</v>
      </c>
      <c r="O31" s="10">
        <f t="shared" ref="O31:O38" si="8">I31+J31+K31+L31</f>
        <v>5800.9602752271003</v>
      </c>
      <c r="P31" s="3" t="s">
        <v>76</v>
      </c>
    </row>
    <row r="32" spans="1:16" x14ac:dyDescent="0.3">
      <c r="A32" t="s">
        <v>85</v>
      </c>
      <c r="B32" t="s">
        <v>55</v>
      </c>
      <c r="C32" s="14">
        <v>399</v>
      </c>
      <c r="D32" s="14">
        <v>400</v>
      </c>
      <c r="E32" s="14">
        <v>410</v>
      </c>
      <c r="F32" s="14">
        <v>487</v>
      </c>
      <c r="G32" s="10">
        <f t="shared" ref="G32:L32" si="9">C32*(1+G14/100)</f>
        <v>438.90000000000003</v>
      </c>
      <c r="H32" s="10">
        <f t="shared" si="9"/>
        <v>440.00000000000006</v>
      </c>
      <c r="I32" s="10">
        <f t="shared" si="9"/>
        <v>446.90000000000003</v>
      </c>
      <c r="J32" s="10">
        <f t="shared" si="9"/>
        <v>530.83000000000004</v>
      </c>
      <c r="K32" s="10">
        <f t="shared" si="9"/>
        <v>478.40100000000007</v>
      </c>
      <c r="L32" s="10">
        <f t="shared" si="9"/>
        <v>479.60000000000008</v>
      </c>
      <c r="M32" s="14">
        <v>1581</v>
      </c>
      <c r="N32" s="10">
        <f t="shared" si="7"/>
        <v>1775.9</v>
      </c>
      <c r="O32" s="10">
        <f t="shared" si="8"/>
        <v>1935.7310000000002</v>
      </c>
      <c r="P32" s="3" t="s">
        <v>86</v>
      </c>
    </row>
    <row r="33" spans="1:16" x14ac:dyDescent="0.3">
      <c r="A33" t="s">
        <v>51</v>
      </c>
      <c r="B33" t="s">
        <v>55</v>
      </c>
      <c r="C33" s="14">
        <v>22</v>
      </c>
      <c r="D33" s="14">
        <v>23</v>
      </c>
      <c r="E33" s="14">
        <v>22</v>
      </c>
      <c r="F33" s="14">
        <v>17</v>
      </c>
      <c r="G33" s="10">
        <f t="shared" ref="G33:L33" si="10">G28*G15/100</f>
        <v>31.298400287717058</v>
      </c>
      <c r="H33" s="10">
        <f t="shared" si="10"/>
        <v>20.3460588045</v>
      </c>
      <c r="I33" s="10">
        <f t="shared" si="10"/>
        <v>19.524909690000005</v>
      </c>
      <c r="J33" s="10">
        <f t="shared" si="10"/>
        <v>26.358547072</v>
      </c>
      <c r="K33" s="10">
        <f t="shared" si="10"/>
        <v>35.248321000827531</v>
      </c>
      <c r="L33" s="10">
        <f t="shared" si="10"/>
        <v>23.029032540873004</v>
      </c>
      <c r="M33" s="14">
        <v>91</v>
      </c>
      <c r="N33" s="10">
        <f t="shared" si="7"/>
        <v>90.644459092217062</v>
      </c>
      <c r="O33" s="10">
        <f t="shared" si="8"/>
        <v>104.16081030370054</v>
      </c>
      <c r="P33" s="3" t="s">
        <v>87</v>
      </c>
    </row>
    <row r="34" spans="1:16" x14ac:dyDescent="0.3">
      <c r="A34" t="s">
        <v>88</v>
      </c>
      <c r="B34" t="s">
        <v>55</v>
      </c>
      <c r="C34" s="14">
        <v>1599</v>
      </c>
      <c r="D34" s="14">
        <v>193</v>
      </c>
      <c r="E34" s="14">
        <v>166</v>
      </c>
      <c r="F34" s="14">
        <v>744</v>
      </c>
      <c r="G34" s="10">
        <f t="shared" ref="G34:L34" si="11">G31-G32-G33</f>
        <v>1936.671217104205</v>
      </c>
      <c r="H34" s="10">
        <f t="shared" si="11"/>
        <v>504.51527485443694</v>
      </c>
      <c r="I34" s="10">
        <f t="shared" si="11"/>
        <v>115.49953672276003</v>
      </c>
      <c r="J34" s="10">
        <f t="shared" si="11"/>
        <v>859.79466700748787</v>
      </c>
      <c r="K34" s="10">
        <f t="shared" si="11"/>
        <v>2196.5707672676417</v>
      </c>
      <c r="L34" s="10">
        <f t="shared" si="11"/>
        <v>589.20349392550929</v>
      </c>
      <c r="M34" s="14">
        <v>2320</v>
      </c>
      <c r="N34" s="10">
        <f t="shared" si="7"/>
        <v>3351.1864919586419</v>
      </c>
      <c r="O34" s="10">
        <f t="shared" si="8"/>
        <v>3761.068464923399</v>
      </c>
      <c r="P34" s="3" t="s">
        <v>89</v>
      </c>
    </row>
    <row r="35" spans="1:16" x14ac:dyDescent="0.3">
      <c r="A35" t="s">
        <v>54</v>
      </c>
      <c r="B35" t="s">
        <v>55</v>
      </c>
      <c r="C35" s="14">
        <v>180</v>
      </c>
      <c r="D35" s="14">
        <v>162</v>
      </c>
      <c r="E35" s="14">
        <v>155</v>
      </c>
      <c r="F35" s="14">
        <v>183</v>
      </c>
      <c r="G35" s="10">
        <f t="shared" ref="G35:L36" si="12">G16</f>
        <v>170</v>
      </c>
      <c r="H35" s="10">
        <f t="shared" si="12"/>
        <v>165</v>
      </c>
      <c r="I35" s="10">
        <f t="shared" si="12"/>
        <v>160</v>
      </c>
      <c r="J35" s="10">
        <f t="shared" si="12"/>
        <v>160</v>
      </c>
      <c r="K35" s="10">
        <f t="shared" si="12"/>
        <v>160</v>
      </c>
      <c r="L35" s="10">
        <f t="shared" si="12"/>
        <v>160</v>
      </c>
      <c r="M35" s="14">
        <v>705</v>
      </c>
      <c r="N35" s="10">
        <f t="shared" si="7"/>
        <v>673</v>
      </c>
      <c r="O35" s="10">
        <f t="shared" si="8"/>
        <v>640</v>
      </c>
      <c r="P35" s="3" t="s">
        <v>90</v>
      </c>
    </row>
    <row r="36" spans="1:16" x14ac:dyDescent="0.3">
      <c r="A36" t="s">
        <v>57</v>
      </c>
      <c r="B36" t="s">
        <v>55</v>
      </c>
      <c r="C36" s="14">
        <v>0</v>
      </c>
      <c r="D36" s="14">
        <v>0</v>
      </c>
      <c r="E36" s="14">
        <v>0</v>
      </c>
      <c r="F36" s="14">
        <v>37</v>
      </c>
      <c r="G36" s="10">
        <f t="shared" si="12"/>
        <v>31</v>
      </c>
      <c r="H36" s="10">
        <f t="shared" si="12"/>
        <v>31</v>
      </c>
      <c r="I36" s="10">
        <f t="shared" si="12"/>
        <v>31</v>
      </c>
      <c r="J36" s="10">
        <f t="shared" si="12"/>
        <v>31</v>
      </c>
      <c r="K36" s="10">
        <f t="shared" si="12"/>
        <v>31</v>
      </c>
      <c r="L36" s="10">
        <f t="shared" si="12"/>
        <v>31</v>
      </c>
      <c r="M36" s="14">
        <v>0</v>
      </c>
      <c r="N36" s="10">
        <f t="shared" si="7"/>
        <v>99</v>
      </c>
      <c r="O36" s="10">
        <f t="shared" si="8"/>
        <v>124</v>
      </c>
      <c r="P36" s="3" t="s">
        <v>90</v>
      </c>
    </row>
    <row r="37" spans="1:16" x14ac:dyDescent="0.3">
      <c r="A37" t="s">
        <v>91</v>
      </c>
      <c r="B37" t="s">
        <v>55</v>
      </c>
      <c r="C37" s="14">
        <v>13</v>
      </c>
      <c r="D37" s="14">
        <v>38</v>
      </c>
      <c r="E37" s="14">
        <v>-40</v>
      </c>
      <c r="F37" s="14">
        <v>7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4">
        <v>112</v>
      </c>
      <c r="N37" s="10">
        <f t="shared" si="7"/>
        <v>-33</v>
      </c>
      <c r="O37" s="10">
        <f t="shared" si="8"/>
        <v>0</v>
      </c>
      <c r="P37" s="3" t="s">
        <v>92</v>
      </c>
    </row>
    <row r="38" spans="1:16" x14ac:dyDescent="0.3">
      <c r="A38" t="s">
        <v>93</v>
      </c>
      <c r="B38" t="s">
        <v>55</v>
      </c>
      <c r="C38" s="10">
        <f t="shared" ref="C38:M38" si="13">C34+C35-C36+C37</f>
        <v>1792</v>
      </c>
      <c r="D38" s="10">
        <f t="shared" si="13"/>
        <v>393</v>
      </c>
      <c r="E38" s="10">
        <f t="shared" si="13"/>
        <v>281</v>
      </c>
      <c r="F38" s="10">
        <f t="shared" si="13"/>
        <v>897</v>
      </c>
      <c r="G38" s="10">
        <f t="shared" si="13"/>
        <v>2075.671217104205</v>
      </c>
      <c r="H38" s="10">
        <f t="shared" si="13"/>
        <v>638.51527485443694</v>
      </c>
      <c r="I38" s="10">
        <f t="shared" si="13"/>
        <v>244.49953672276001</v>
      </c>
      <c r="J38" s="10">
        <f t="shared" si="13"/>
        <v>988.79466700748787</v>
      </c>
      <c r="K38" s="10">
        <f t="shared" si="13"/>
        <v>2325.5707672676417</v>
      </c>
      <c r="L38" s="10">
        <f t="shared" si="13"/>
        <v>718.20349392550929</v>
      </c>
      <c r="M38" s="10">
        <f t="shared" si="13"/>
        <v>3137</v>
      </c>
      <c r="N38" s="10">
        <f t="shared" si="7"/>
        <v>3892.1864919586419</v>
      </c>
      <c r="O38" s="10">
        <f t="shared" si="8"/>
        <v>4277.068464923399</v>
      </c>
    </row>
    <row r="39" spans="1:16" x14ac:dyDescent="0.3">
      <c r="A39" t="s">
        <v>59</v>
      </c>
      <c r="B39" t="s">
        <v>60</v>
      </c>
      <c r="C39" s="8">
        <f>C40/C38*100</f>
        <v>23.325892857142858</v>
      </c>
      <c r="D39" s="8">
        <f>D40/D38*100</f>
        <v>13.231552162849871</v>
      </c>
      <c r="E39" s="8">
        <f>E40/E38*100</f>
        <v>43.060498220640568</v>
      </c>
      <c r="F39" s="8">
        <f>F40/F38*100</f>
        <v>9.0301003344481607</v>
      </c>
      <c r="G39" s="8">
        <f t="shared" ref="G39:L39" si="14">G18</f>
        <v>18</v>
      </c>
      <c r="H39" s="8">
        <f t="shared" si="14"/>
        <v>18</v>
      </c>
      <c r="I39" s="8">
        <f t="shared" si="14"/>
        <v>18</v>
      </c>
      <c r="J39" s="8">
        <f t="shared" si="14"/>
        <v>18</v>
      </c>
      <c r="K39" s="8">
        <f t="shared" si="14"/>
        <v>18</v>
      </c>
      <c r="L39" s="8">
        <f t="shared" si="14"/>
        <v>18</v>
      </c>
      <c r="M39" s="8">
        <f>M40/M38*100</f>
        <v>19.95537137392413</v>
      </c>
      <c r="N39" s="8">
        <f>N40/N38*100</f>
        <v>17.742047303726508</v>
      </c>
      <c r="O39" s="8">
        <f>O40/O38*100</f>
        <v>18.000000000000004</v>
      </c>
    </row>
    <row r="40" spans="1:16" x14ac:dyDescent="0.3">
      <c r="A40" t="s">
        <v>94</v>
      </c>
      <c r="B40" t="s">
        <v>55</v>
      </c>
      <c r="C40" s="14">
        <v>418</v>
      </c>
      <c r="D40" s="14">
        <v>52</v>
      </c>
      <c r="E40" s="14">
        <v>121</v>
      </c>
      <c r="F40" s="14">
        <v>81</v>
      </c>
      <c r="G40" s="10">
        <f t="shared" ref="G40:L40" si="15">G38*G39/100</f>
        <v>373.62081907875688</v>
      </c>
      <c r="H40" s="10">
        <f t="shared" si="15"/>
        <v>114.93274947379865</v>
      </c>
      <c r="I40" s="10">
        <f t="shared" si="15"/>
        <v>44.009916610096809</v>
      </c>
      <c r="J40" s="10">
        <f t="shared" si="15"/>
        <v>177.98304006134782</v>
      </c>
      <c r="K40" s="10">
        <f t="shared" si="15"/>
        <v>418.60273810817557</v>
      </c>
      <c r="L40" s="10">
        <f t="shared" si="15"/>
        <v>129.27662890659167</v>
      </c>
      <c r="M40" s="14">
        <v>626</v>
      </c>
      <c r="N40" s="10">
        <f>E40+F40+G40+H40</f>
        <v>690.55356855255559</v>
      </c>
      <c r="O40" s="10">
        <f>I40+J40+K40+L40</f>
        <v>769.87232368621187</v>
      </c>
      <c r="P40" s="3" t="s">
        <v>95</v>
      </c>
    </row>
    <row r="41" spans="1:16" x14ac:dyDescent="0.3">
      <c r="A41" t="s">
        <v>96</v>
      </c>
      <c r="B41" t="s">
        <v>55</v>
      </c>
      <c r="C41" s="14">
        <f t="shared" ref="C41:M41" si="16">C38-C40</f>
        <v>1374</v>
      </c>
      <c r="D41" s="14">
        <f t="shared" si="16"/>
        <v>341</v>
      </c>
      <c r="E41" s="14">
        <f t="shared" si="16"/>
        <v>160</v>
      </c>
      <c r="F41" s="14">
        <f t="shared" si="16"/>
        <v>816</v>
      </c>
      <c r="G41" s="10">
        <f t="shared" si="16"/>
        <v>1702.050398025448</v>
      </c>
      <c r="H41" s="10">
        <f t="shared" si="16"/>
        <v>523.58252538063834</v>
      </c>
      <c r="I41" s="10">
        <f t="shared" si="16"/>
        <v>200.4896201126632</v>
      </c>
      <c r="J41" s="10">
        <f t="shared" si="16"/>
        <v>810.81162694614</v>
      </c>
      <c r="K41" s="10">
        <f t="shared" si="16"/>
        <v>1906.9680291594661</v>
      </c>
      <c r="L41" s="10">
        <f t="shared" si="16"/>
        <v>588.92686501891762</v>
      </c>
      <c r="M41" s="14">
        <f t="shared" si="16"/>
        <v>2511</v>
      </c>
      <c r="N41" s="10">
        <f>E41+F41+G41+H41</f>
        <v>3201.6329234060863</v>
      </c>
      <c r="O41" s="10">
        <f>I41+J41+K41+L41</f>
        <v>3507.1961412371875</v>
      </c>
      <c r="P41" s="3" t="s">
        <v>76</v>
      </c>
    </row>
    <row r="42" spans="1:16" x14ac:dyDescent="0.3">
      <c r="A42" t="s">
        <v>97</v>
      </c>
      <c r="B42" t="s">
        <v>75</v>
      </c>
      <c r="C42" s="14">
        <v>621</v>
      </c>
      <c r="D42" s="14">
        <v>613</v>
      </c>
      <c r="E42" s="14">
        <v>608</v>
      </c>
      <c r="F42" s="14">
        <v>597</v>
      </c>
      <c r="G42" s="10">
        <f t="shared" ref="G42:L42" si="17">F42-G19/G20+G21</f>
        <v>592.43042481931957</v>
      </c>
      <c r="H42" s="10">
        <f t="shared" si="17"/>
        <v>587.93400736452168</v>
      </c>
      <c r="I42" s="10">
        <f t="shared" si="17"/>
        <v>583.50987987332985</v>
      </c>
      <c r="J42" s="10">
        <f t="shared" si="17"/>
        <v>579.15718508840075</v>
      </c>
      <c r="K42" s="10">
        <f t="shared" si="17"/>
        <v>574.87507270420133</v>
      </c>
      <c r="L42" s="10">
        <f t="shared" si="17"/>
        <v>570.66270908716194</v>
      </c>
      <c r="M42" s="14">
        <v>623</v>
      </c>
      <c r="N42" s="10">
        <f>AVERAGE(E42:H42)</f>
        <v>596.34110804596025</v>
      </c>
      <c r="O42" s="10">
        <f>AVERAGE(I42:L42)</f>
        <v>577.0512116882735</v>
      </c>
      <c r="P42" s="3" t="s">
        <v>98</v>
      </c>
    </row>
    <row r="43" spans="1:16" x14ac:dyDescent="0.3">
      <c r="A43" t="s">
        <v>99</v>
      </c>
      <c r="B43" t="s">
        <v>65</v>
      </c>
      <c r="C43" s="12">
        <f t="shared" ref="C43:O43" si="18">C41/C42</f>
        <v>2.21256038647343</v>
      </c>
      <c r="D43" s="12">
        <f t="shared" si="18"/>
        <v>0.55628058727569329</v>
      </c>
      <c r="E43" s="12">
        <f t="shared" si="18"/>
        <v>0.26315789473684209</v>
      </c>
      <c r="F43" s="12">
        <f t="shared" si="18"/>
        <v>1.3668341708542713</v>
      </c>
      <c r="G43" s="12">
        <f t="shared" si="18"/>
        <v>2.8729962654172296</v>
      </c>
      <c r="H43" s="12">
        <f t="shared" si="18"/>
        <v>0.89054641987398231</v>
      </c>
      <c r="I43" s="12">
        <f t="shared" si="18"/>
        <v>0.34359250293445953</v>
      </c>
      <c r="J43" s="12">
        <f t="shared" si="18"/>
        <v>1.3999854406060424</v>
      </c>
      <c r="K43" s="12">
        <f t="shared" si="18"/>
        <v>3.3171868458117779</v>
      </c>
      <c r="L43" s="12">
        <f t="shared" si="18"/>
        <v>1.032005168098282</v>
      </c>
      <c r="M43" s="12">
        <f t="shared" si="18"/>
        <v>4.0304975922953448</v>
      </c>
      <c r="N43" s="12">
        <f t="shared" si="18"/>
        <v>5.3687946046465322</v>
      </c>
      <c r="O43" s="12">
        <f t="shared" si="18"/>
        <v>6.0777900993851404</v>
      </c>
      <c r="P43" s="3" t="s">
        <v>100</v>
      </c>
    </row>
    <row r="44" spans="1:16" x14ac:dyDescent="0.3">
      <c r="A44" t="s">
        <v>101</v>
      </c>
      <c r="B44" t="s">
        <v>55</v>
      </c>
      <c r="C44" s="14">
        <v>1349</v>
      </c>
      <c r="D44" s="14">
        <v>521</v>
      </c>
      <c r="E44" s="14">
        <v>1704</v>
      </c>
      <c r="F44" s="14">
        <v>1253</v>
      </c>
      <c r="G44" s="10">
        <f t="shared" ref="G44:L44" si="19">G31*G22</f>
        <v>1684.8087321743453</v>
      </c>
      <c r="H44" s="10">
        <f t="shared" si="19"/>
        <v>675.40293356125585</v>
      </c>
      <c r="I44" s="10">
        <f t="shared" si="19"/>
        <v>1862.1582285208324</v>
      </c>
      <c r="J44" s="10">
        <f t="shared" si="19"/>
        <v>1416.9832140794879</v>
      </c>
      <c r="K44" s="10">
        <f t="shared" si="19"/>
        <v>1897.1540617879286</v>
      </c>
      <c r="L44" s="10">
        <f t="shared" si="19"/>
        <v>764.28276852646763</v>
      </c>
      <c r="M44" s="14">
        <v>4613</v>
      </c>
      <c r="N44" s="10">
        <f>E44+F44+G44+H44</f>
        <v>5317.2116657356009</v>
      </c>
      <c r="O44" s="10">
        <f>I44+J44+K44+L44</f>
        <v>5940.5782729147159</v>
      </c>
      <c r="P44" s="3" t="s">
        <v>102</v>
      </c>
    </row>
    <row r="45" spans="1:16" x14ac:dyDescent="0.3">
      <c r="A45" t="s">
        <v>62</v>
      </c>
      <c r="B45" t="s">
        <v>55</v>
      </c>
      <c r="C45" s="14">
        <v>877</v>
      </c>
      <c r="D45" s="14">
        <v>1095</v>
      </c>
      <c r="E45" s="14">
        <v>1088</v>
      </c>
      <c r="F45" s="14">
        <v>1051</v>
      </c>
      <c r="G45" s="10">
        <f t="shared" ref="G45:L45" si="20">G19</f>
        <v>1050</v>
      </c>
      <c r="H45" s="10">
        <f t="shared" si="20"/>
        <v>1050</v>
      </c>
      <c r="I45" s="10">
        <f t="shared" si="20"/>
        <v>1050</v>
      </c>
      <c r="J45" s="10">
        <f t="shared" si="20"/>
        <v>1050</v>
      </c>
      <c r="K45" s="10">
        <f t="shared" si="20"/>
        <v>1050</v>
      </c>
      <c r="L45" s="10">
        <f t="shared" si="20"/>
        <v>1050</v>
      </c>
      <c r="M45" s="14">
        <v>3789</v>
      </c>
      <c r="N45" s="10">
        <f>E45+F45+G45+H45</f>
        <v>4239</v>
      </c>
      <c r="O45" s="10">
        <f>I45+J45+K45+L45</f>
        <v>4200</v>
      </c>
      <c r="P45" s="3" t="s">
        <v>76</v>
      </c>
    </row>
    <row r="46" spans="1:16" x14ac:dyDescent="0.3">
      <c r="A46" t="s">
        <v>103</v>
      </c>
      <c r="B46" t="s">
        <v>55</v>
      </c>
      <c r="C46" s="10"/>
      <c r="D46" s="10"/>
      <c r="E46" s="10"/>
      <c r="F46" s="10"/>
      <c r="G46" s="10">
        <f t="shared" ref="G46:L46" si="21">0.35*G32</f>
        <v>153.61500000000001</v>
      </c>
      <c r="H46" s="10">
        <f t="shared" si="21"/>
        <v>154</v>
      </c>
      <c r="I46" s="10">
        <f t="shared" si="21"/>
        <v>156.41499999999999</v>
      </c>
      <c r="J46" s="10">
        <f t="shared" si="21"/>
        <v>185.79050000000001</v>
      </c>
      <c r="K46" s="10">
        <f t="shared" si="21"/>
        <v>167.44035000000002</v>
      </c>
      <c r="L46" s="10">
        <f t="shared" si="21"/>
        <v>167.86</v>
      </c>
      <c r="M46" s="10"/>
      <c r="N46" s="10">
        <f>G46+H46</f>
        <v>307.61500000000001</v>
      </c>
      <c r="O46" s="10">
        <f>I46+J46+K46+L46</f>
        <v>677.50585000000001</v>
      </c>
      <c r="P46" s="3" t="s">
        <v>104</v>
      </c>
    </row>
    <row r="47" spans="1:16" x14ac:dyDescent="0.3">
      <c r="A47" t="s">
        <v>105</v>
      </c>
      <c r="B47" t="s">
        <v>55</v>
      </c>
      <c r="C47" s="14">
        <v>11684</v>
      </c>
      <c r="D47" s="14">
        <v>11014</v>
      </c>
      <c r="E47" s="14">
        <v>9530</v>
      </c>
      <c r="F47" s="14">
        <v>9593</v>
      </c>
      <c r="G47" s="10">
        <f t="shared" ref="G47:L47" si="22">F47+G44-G45-G46</f>
        <v>10074.193732174346</v>
      </c>
      <c r="H47" s="10">
        <f t="shared" si="22"/>
        <v>9545.5966657356021</v>
      </c>
      <c r="I47" s="10">
        <f t="shared" si="22"/>
        <v>10201.339894256434</v>
      </c>
      <c r="J47" s="10">
        <f t="shared" si="22"/>
        <v>10382.532608335923</v>
      </c>
      <c r="K47" s="10">
        <f t="shared" si="22"/>
        <v>11062.246320123852</v>
      </c>
      <c r="L47" s="10">
        <f t="shared" si="22"/>
        <v>10608.669088650318</v>
      </c>
      <c r="M47" s="10">
        <f>D47</f>
        <v>11014</v>
      </c>
      <c r="N47" s="10">
        <f>H47</f>
        <v>9545.5966657356021</v>
      </c>
      <c r="O47" s="10">
        <f>L47</f>
        <v>10608.669088650318</v>
      </c>
      <c r="P47" s="3" t="s">
        <v>106</v>
      </c>
    </row>
    <row r="49" spans="1:15" x14ac:dyDescent="0.3">
      <c r="A49" s="7" t="s">
        <v>107</v>
      </c>
    </row>
    <row r="50" spans="1:15" x14ac:dyDescent="0.3">
      <c r="A50" t="s">
        <v>108</v>
      </c>
      <c r="B50" t="s">
        <v>33</v>
      </c>
      <c r="C50" s="8"/>
      <c r="D50" s="8"/>
      <c r="E50" s="8"/>
      <c r="F50" s="8"/>
      <c r="G50" s="8">
        <f t="shared" ref="G50:L53" si="23">(G25/C25-1)*100</f>
        <v>11.5</v>
      </c>
      <c r="H50" s="8">
        <f t="shared" si="23"/>
        <v>10.499999999999998</v>
      </c>
      <c r="I50" s="8">
        <f t="shared" si="23"/>
        <v>10.000000000000009</v>
      </c>
      <c r="J50" s="8">
        <f t="shared" si="23"/>
        <v>10.000000000000009</v>
      </c>
      <c r="K50" s="8">
        <f t="shared" si="23"/>
        <v>10.000000000000009</v>
      </c>
      <c r="L50" s="8">
        <f t="shared" si="23"/>
        <v>10.000000000000009</v>
      </c>
      <c r="M50" s="8"/>
      <c r="N50" s="8">
        <f t="shared" ref="N50:O53" si="24">(N25/M25-1)*100</f>
        <v>10.349624765478428</v>
      </c>
      <c r="O50" s="8">
        <f t="shared" si="24"/>
        <v>10.000000000000009</v>
      </c>
    </row>
    <row r="51" spans="1:15" x14ac:dyDescent="0.3">
      <c r="A51" t="s">
        <v>109</v>
      </c>
      <c r="B51" t="s">
        <v>33</v>
      </c>
      <c r="C51" s="8"/>
      <c r="D51" s="8"/>
      <c r="E51" s="8"/>
      <c r="F51" s="8"/>
      <c r="G51" s="8">
        <f t="shared" si="23"/>
        <v>15.74870749999997</v>
      </c>
      <c r="H51" s="8">
        <f t="shared" si="23"/>
        <v>13.35974000000002</v>
      </c>
      <c r="I51" s="8">
        <f t="shared" si="23"/>
        <v>12.846800000000025</v>
      </c>
      <c r="J51" s="8">
        <f t="shared" si="23"/>
        <v>13.3</v>
      </c>
      <c r="K51" s="8">
        <f t="shared" si="23"/>
        <v>14.093099999999993</v>
      </c>
      <c r="L51" s="8">
        <f t="shared" si="23"/>
        <v>13.300000000000022</v>
      </c>
      <c r="M51" s="8"/>
      <c r="N51" s="8">
        <f t="shared" si="24"/>
        <v>16.172918854773698</v>
      </c>
      <c r="O51" s="8">
        <f t="shared" si="24"/>
        <v>13.373426619809159</v>
      </c>
    </row>
    <row r="52" spans="1:15" x14ac:dyDescent="0.3">
      <c r="A52" t="s">
        <v>110</v>
      </c>
      <c r="B52" t="s">
        <v>33</v>
      </c>
      <c r="C52" s="8"/>
      <c r="D52" s="8"/>
      <c r="E52" s="8"/>
      <c r="F52" s="8"/>
      <c r="G52" s="8">
        <f t="shared" si="23"/>
        <v>3.8104999999999611</v>
      </c>
      <c r="H52" s="8">
        <f t="shared" si="23"/>
        <v>2.5880000000000125</v>
      </c>
      <c r="I52" s="8">
        <f t="shared" si="23"/>
        <v>2.5880000000000347</v>
      </c>
      <c r="J52" s="8">
        <f t="shared" si="23"/>
        <v>3.0000000000000027</v>
      </c>
      <c r="K52" s="8">
        <f t="shared" si="23"/>
        <v>3.7209999999999965</v>
      </c>
      <c r="L52" s="8">
        <f t="shared" si="23"/>
        <v>3.0000000000000027</v>
      </c>
      <c r="M52" s="8"/>
      <c r="N52" s="8">
        <f t="shared" si="24"/>
        <v>5.2771308481304402</v>
      </c>
      <c r="O52" s="8">
        <f t="shared" si="24"/>
        <v>3.066751472553797</v>
      </c>
    </row>
    <row r="53" spans="1:15" x14ac:dyDescent="0.3">
      <c r="A53" t="s">
        <v>111</v>
      </c>
      <c r="B53" t="s">
        <v>33</v>
      </c>
      <c r="C53" s="8"/>
      <c r="D53" s="8"/>
      <c r="E53" s="8"/>
      <c r="F53" s="8"/>
      <c r="G53" s="8">
        <f t="shared" si="23"/>
        <v>17.585799897499975</v>
      </c>
      <c r="H53" s="8">
        <f t="shared" si="23"/>
        <v>12.676850000000005</v>
      </c>
      <c r="I53" s="8">
        <f t="shared" si="23"/>
        <v>12.167000000000016</v>
      </c>
      <c r="J53" s="8">
        <f t="shared" si="23"/>
        <v>12.393600000000005</v>
      </c>
      <c r="K53" s="8">
        <f t="shared" si="23"/>
        <v>12.620200000000015</v>
      </c>
      <c r="L53" s="8">
        <f t="shared" si="23"/>
        <v>13.186699999999995</v>
      </c>
      <c r="M53" s="8"/>
      <c r="N53" s="8">
        <f t="shared" si="24"/>
        <v>16.259303968651452</v>
      </c>
      <c r="O53" s="8">
        <f t="shared" si="24"/>
        <v>12.602070588368175</v>
      </c>
    </row>
    <row r="54" spans="1:15" x14ac:dyDescent="0.3">
      <c r="A54" t="s">
        <v>112</v>
      </c>
      <c r="B54" t="s">
        <v>33</v>
      </c>
      <c r="C54" s="8"/>
      <c r="D54" s="8"/>
      <c r="E54" s="8"/>
      <c r="F54" s="8"/>
      <c r="G54" s="8">
        <f t="shared" ref="G54:L54" si="25">(G31/C31-1)*100</f>
        <v>17.351029614428182</v>
      </c>
      <c r="H54" s="8">
        <f t="shared" si="25"/>
        <v>22.75589486754923</v>
      </c>
      <c r="I54" s="8">
        <f t="shared" si="25"/>
        <v>12.124170792439326</v>
      </c>
      <c r="J54" s="8">
        <f t="shared" si="25"/>
        <v>12.369802861180634</v>
      </c>
      <c r="K54" s="8">
        <f t="shared" si="25"/>
        <v>12.603527365360879</v>
      </c>
      <c r="L54" s="8">
        <f t="shared" si="25"/>
        <v>13.159527527748116</v>
      </c>
      <c r="M54" s="8"/>
      <c r="N54" s="8">
        <f>(N31/M31-1)*100</f>
        <v>19.891341658153561</v>
      </c>
      <c r="O54" s="8">
        <f>(O31/N31-1)*100</f>
        <v>12.602158970351729</v>
      </c>
    </row>
    <row r="55" spans="1:15" x14ac:dyDescent="0.3">
      <c r="A55" t="s">
        <v>113</v>
      </c>
      <c r="B55" t="s">
        <v>33</v>
      </c>
      <c r="C55" s="12"/>
      <c r="D55" s="12"/>
      <c r="E55" s="12"/>
      <c r="F55" s="12"/>
      <c r="G55" s="12">
        <f t="shared" ref="G55:L55" si="26">(G43/C43-1)*100</f>
        <v>29.849394528682648</v>
      </c>
      <c r="H55" s="12">
        <f t="shared" si="26"/>
        <v>60.089429731012075</v>
      </c>
      <c r="I55" s="12">
        <f t="shared" si="26"/>
        <v>30.565151115094636</v>
      </c>
      <c r="J55" s="12">
        <f t="shared" si="26"/>
        <v>2.4254053972803113</v>
      </c>
      <c r="K55" s="12">
        <f t="shared" si="26"/>
        <v>15.46088262422578</v>
      </c>
      <c r="L55" s="12">
        <f t="shared" si="26"/>
        <v>15.884489013421321</v>
      </c>
      <c r="M55" s="12"/>
      <c r="N55" s="12">
        <f>(N43/M43-1)*100</f>
        <v>33.204262791508967</v>
      </c>
      <c r="O55" s="12">
        <f>(O43/N43-1)*100</f>
        <v>13.205859917326567</v>
      </c>
    </row>
    <row r="56" spans="1:15" x14ac:dyDescent="0.3">
      <c r="A56" t="s">
        <v>114</v>
      </c>
      <c r="B56" t="s">
        <v>47</v>
      </c>
      <c r="C56" s="8"/>
      <c r="D56" s="8"/>
      <c r="E56" s="8"/>
      <c r="F56" s="8"/>
      <c r="G56" s="8">
        <f t="shared" ref="G56:L57" si="27">G29-C29</f>
        <v>0.28391282991842459</v>
      </c>
      <c r="H56" s="8">
        <f t="shared" si="27"/>
        <v>-8.2034018426648814E-2</v>
      </c>
      <c r="I56" s="8">
        <f t="shared" si="27"/>
        <v>-5.5272998665440554E-2</v>
      </c>
      <c r="J56" s="8">
        <f t="shared" si="27"/>
        <v>-0.10593459830439933</v>
      </c>
      <c r="K56" s="8">
        <f t="shared" si="27"/>
        <v>-0.23459717511806488</v>
      </c>
      <c r="L56" s="8">
        <f t="shared" si="27"/>
        <v>-1.3535613040398076E-2</v>
      </c>
      <c r="M56" s="8"/>
      <c r="N56" s="8">
        <f>N29-M29</f>
        <v>9.9705286385862735E-3</v>
      </c>
      <c r="O56" s="8">
        <f>O29-N29</f>
        <v>-9.1295758345976807E-2</v>
      </c>
    </row>
    <row r="57" spans="1:15" x14ac:dyDescent="0.3">
      <c r="A57" t="s">
        <v>115</v>
      </c>
      <c r="B57" t="s">
        <v>47</v>
      </c>
      <c r="C57" s="8"/>
      <c r="D57" s="8"/>
      <c r="E57" s="8"/>
      <c r="F57" s="8"/>
      <c r="G57" s="8">
        <f t="shared" si="27"/>
        <v>-0.10000000000000142</v>
      </c>
      <c r="H57" s="8">
        <f t="shared" si="27"/>
        <v>2.530899999999999</v>
      </c>
      <c r="I57" s="8">
        <f t="shared" si="27"/>
        <v>-7.4000000000005173E-3</v>
      </c>
      <c r="J57" s="8">
        <f t="shared" si="27"/>
        <v>-7.3999999999969646E-3</v>
      </c>
      <c r="K57" s="8">
        <f t="shared" si="27"/>
        <v>-7.3999999999969646E-3</v>
      </c>
      <c r="L57" s="8">
        <f t="shared" si="27"/>
        <v>-7.4000000000005173E-3</v>
      </c>
      <c r="M57" s="8"/>
      <c r="N57" s="8">
        <f>N30-M30</f>
        <v>1.0966576783416073</v>
      </c>
      <c r="O57" s="8">
        <f>O30-N30</f>
        <v>2.8413577929597977E-5</v>
      </c>
    </row>
    <row r="59" spans="1:15" x14ac:dyDescent="0.3">
      <c r="A59" t="s">
        <v>116</v>
      </c>
      <c r="C59" t="str">
        <f>IF(G28&lt;4690,"BELOW guide",IF(G28&gt;4770,"ABOVE guide top by "&amp;TEXT(G28/4770-1,"0.0%"),"within guide"))</f>
        <v>ABOVE guide top by 0.9%</v>
      </c>
    </row>
    <row r="60" spans="1:15" x14ac:dyDescent="0.3">
      <c r="A60" t="s">
        <v>117</v>
      </c>
      <c r="C60" t="str">
        <f>IF(N53&gt;=15,"met: "&amp;TEXT(N53,"0.0")&amp;"%","BELOW: "&amp;TEXT(N53,"0.0")&amp;"%")</f>
        <v>met: 16.3%</v>
      </c>
    </row>
    <row r="61" spans="1:15" x14ac:dyDescent="0.3">
      <c r="A61" t="s">
        <v>118</v>
      </c>
      <c r="C61" t="str">
        <f>IF(N30&gt;=35.5,"met: "&amp;TEXT(N30,"0.0")&amp;"%","BELOW: "&amp;TEXT(N30,"0.0")&amp;"%")</f>
        <v>met: 36.2%</v>
      </c>
    </row>
    <row r="62" spans="1:15" x14ac:dyDescent="0.3">
      <c r="A62" t="s">
        <v>119</v>
      </c>
      <c r="C62" t="str">
        <f>TEXT(N29-13.41,"+0.00;-0.00")&amp;" pts vs FY25"</f>
        <v>+0.01 pts vs FY25</v>
      </c>
    </row>
    <row r="63" spans="1:15" x14ac:dyDescent="0.3">
      <c r="A63" t="s">
        <v>120</v>
      </c>
      <c r="C63" t="str">
        <f>TEXT(G30-C30,"+0.0;-0.0")&amp;" pts y/y"</f>
        <v>-0.1 pts y/y</v>
      </c>
    </row>
    <row r="64" spans="1:15" x14ac:dyDescent="0.3">
      <c r="A64" t="s">
        <v>121</v>
      </c>
      <c r="C64" t="str">
        <f>IF(SUM(G45:J45)&gt;3400,"needs new authorisation: $"&amp;TEXT(SUM(G45:J45),"#,##0")&amp;"M planned vs $3,400M left","inside authorisation")</f>
        <v>needs new authorisation: $4,200M planned vs $3,400M left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4"/>
  <sheetViews>
    <sheetView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8" customWidth="1"/>
    <col min="2" max="15" width="10" customWidth="1"/>
    <col min="16" max="16" width="120" customWidth="1"/>
  </cols>
  <sheetData>
    <row r="1" spans="1:16" ht="17.399999999999999" customHeight="1" x14ac:dyDescent="0.35">
      <c r="A1" s="2" t="s">
        <v>124</v>
      </c>
    </row>
    <row r="2" spans="1:16" x14ac:dyDescent="0.3">
      <c r="A2" s="3" t="s">
        <v>125</v>
      </c>
    </row>
    <row r="3" spans="1:16" x14ac:dyDescent="0.3">
      <c r="A3" s="3" t="s">
        <v>14</v>
      </c>
    </row>
    <row r="5" spans="1:16" x14ac:dyDescent="0.3">
      <c r="A5" s="4" t="s">
        <v>15</v>
      </c>
      <c r="B5" s="5" t="s">
        <v>16</v>
      </c>
      <c r="C5" s="6" t="s">
        <v>17</v>
      </c>
      <c r="D5" s="6" t="s">
        <v>18</v>
      </c>
      <c r="E5" s="6" t="s">
        <v>19</v>
      </c>
      <c r="F5" s="6" t="s">
        <v>20</v>
      </c>
      <c r="G5" s="6" t="s">
        <v>21</v>
      </c>
      <c r="H5" s="6" t="s">
        <v>22</v>
      </c>
      <c r="I5" s="6" t="s">
        <v>23</v>
      </c>
      <c r="J5" s="6" t="s">
        <v>24</v>
      </c>
      <c r="K5" s="6" t="s">
        <v>25</v>
      </c>
      <c r="L5" s="6" t="s">
        <v>26</v>
      </c>
      <c r="M5" s="6" t="s">
        <v>27</v>
      </c>
      <c r="N5" s="6" t="s">
        <v>28</v>
      </c>
      <c r="O5" s="6" t="s">
        <v>29</v>
      </c>
      <c r="P5" s="4" t="s">
        <v>30</v>
      </c>
    </row>
    <row r="6" spans="1:16" x14ac:dyDescent="0.3">
      <c r="A6" s="7" t="s">
        <v>31</v>
      </c>
    </row>
    <row r="7" spans="1:16" x14ac:dyDescent="0.3">
      <c r="A7" t="s">
        <v>32</v>
      </c>
      <c r="B7" t="s">
        <v>33</v>
      </c>
      <c r="C7" s="8"/>
      <c r="D7" s="8"/>
      <c r="E7" s="8"/>
      <c r="F7" s="8"/>
      <c r="G7" s="9">
        <v>12.5</v>
      </c>
      <c r="H7" s="9">
        <v>12</v>
      </c>
      <c r="I7" s="9">
        <v>12</v>
      </c>
      <c r="J7" s="9">
        <v>12</v>
      </c>
      <c r="K7" s="9">
        <v>12</v>
      </c>
      <c r="L7" s="9">
        <v>12</v>
      </c>
      <c r="M7" s="8"/>
      <c r="N7" s="8"/>
      <c r="O7" s="8"/>
      <c r="P7" s="3" t="s">
        <v>34</v>
      </c>
    </row>
    <row r="8" spans="1:16" x14ac:dyDescent="0.3">
      <c r="A8" t="s">
        <v>35</v>
      </c>
      <c r="B8" t="s">
        <v>33</v>
      </c>
      <c r="C8" s="8"/>
      <c r="D8" s="8"/>
      <c r="E8" s="8"/>
      <c r="F8" s="8"/>
      <c r="G8" s="9">
        <v>4</v>
      </c>
      <c r="H8" s="9">
        <v>3.5</v>
      </c>
      <c r="I8" s="9">
        <v>3</v>
      </c>
      <c r="J8" s="9">
        <v>3</v>
      </c>
      <c r="K8" s="9">
        <v>3</v>
      </c>
      <c r="L8" s="9">
        <v>3</v>
      </c>
      <c r="M8" s="8"/>
      <c r="N8" s="8"/>
      <c r="O8" s="8"/>
      <c r="P8" s="3" t="s">
        <v>36</v>
      </c>
    </row>
    <row r="9" spans="1:16" x14ac:dyDescent="0.3">
      <c r="A9" t="s">
        <v>37</v>
      </c>
      <c r="B9" t="s">
        <v>38</v>
      </c>
      <c r="C9" s="8"/>
      <c r="D9" s="8"/>
      <c r="E9" s="8"/>
      <c r="F9" s="8"/>
      <c r="G9" s="9">
        <v>0.3</v>
      </c>
      <c r="H9" s="9">
        <v>-0.4</v>
      </c>
      <c r="I9" s="9">
        <v>-0.4</v>
      </c>
      <c r="J9" s="9">
        <v>0</v>
      </c>
      <c r="K9" s="9">
        <v>0.7</v>
      </c>
      <c r="L9" s="9">
        <v>0</v>
      </c>
      <c r="M9" s="8"/>
      <c r="N9" s="8"/>
      <c r="O9" s="8"/>
      <c r="P9" s="3" t="s">
        <v>39</v>
      </c>
    </row>
    <row r="10" spans="1:16" x14ac:dyDescent="0.3">
      <c r="A10" t="s">
        <v>40</v>
      </c>
      <c r="B10" t="s">
        <v>33</v>
      </c>
      <c r="C10" s="8"/>
      <c r="D10" s="8"/>
      <c r="E10" s="8"/>
      <c r="F10" s="8"/>
      <c r="G10" s="9">
        <v>0</v>
      </c>
      <c r="H10" s="9">
        <v>0</v>
      </c>
      <c r="I10" s="9">
        <v>1.5</v>
      </c>
      <c r="J10" s="9">
        <v>1.5</v>
      </c>
      <c r="K10" s="9">
        <v>1.5</v>
      </c>
      <c r="L10" s="9">
        <v>1.5</v>
      </c>
      <c r="M10" s="8"/>
      <c r="N10" s="8"/>
      <c r="O10" s="8"/>
      <c r="P10" s="3" t="s">
        <v>41</v>
      </c>
    </row>
    <row r="11" spans="1:16" x14ac:dyDescent="0.3">
      <c r="A11" t="s">
        <v>42</v>
      </c>
      <c r="B11" t="s">
        <v>38</v>
      </c>
      <c r="C11" s="8"/>
      <c r="D11" s="8"/>
      <c r="E11" s="8"/>
      <c r="F11" s="8"/>
      <c r="G11" s="9">
        <v>3</v>
      </c>
      <c r="H11" s="9">
        <v>-0.4</v>
      </c>
      <c r="I11" s="9">
        <v>-1</v>
      </c>
      <c r="J11" s="9">
        <v>-0.8</v>
      </c>
      <c r="K11" s="9">
        <v>-0.6</v>
      </c>
      <c r="L11" s="9">
        <v>-0.1</v>
      </c>
      <c r="M11" s="8"/>
      <c r="N11" s="8"/>
      <c r="O11" s="8"/>
      <c r="P11" s="3" t="s">
        <v>43</v>
      </c>
    </row>
    <row r="12" spans="1:16" x14ac:dyDescent="0.3">
      <c r="A12" t="s">
        <v>44</v>
      </c>
      <c r="B12" t="s">
        <v>38</v>
      </c>
      <c r="C12" s="8"/>
      <c r="D12" s="8"/>
      <c r="E12" s="8"/>
      <c r="F12" s="8"/>
      <c r="G12" s="9">
        <v>-1.1000000000000001</v>
      </c>
      <c r="H12" s="9">
        <v>-0.6</v>
      </c>
      <c r="I12" s="9">
        <v>0.5</v>
      </c>
      <c r="J12" s="9">
        <v>0.5</v>
      </c>
      <c r="K12" s="9">
        <v>0.5</v>
      </c>
      <c r="L12" s="9">
        <v>0.5</v>
      </c>
      <c r="M12" s="8"/>
      <c r="N12" s="8"/>
      <c r="O12" s="8"/>
      <c r="P12" s="3" t="s">
        <v>45</v>
      </c>
    </row>
    <row r="13" spans="1:16" x14ac:dyDescent="0.3">
      <c r="A13" t="s">
        <v>46</v>
      </c>
      <c r="B13" t="s">
        <v>47</v>
      </c>
      <c r="C13" s="8"/>
      <c r="D13" s="8"/>
      <c r="E13" s="8"/>
      <c r="F13" s="8"/>
      <c r="G13" s="9">
        <v>0.3</v>
      </c>
      <c r="H13" s="9">
        <v>3.077</v>
      </c>
      <c r="I13" s="9">
        <v>0.49209999999999998</v>
      </c>
      <c r="J13" s="9">
        <v>0.49209999999999998</v>
      </c>
      <c r="K13" s="9">
        <v>0.49209999999999998</v>
      </c>
      <c r="L13" s="9">
        <v>0.49209999999999998</v>
      </c>
      <c r="M13" s="8"/>
      <c r="N13" s="8"/>
      <c r="O13" s="8"/>
      <c r="P13" s="3" t="s">
        <v>48</v>
      </c>
    </row>
    <row r="14" spans="1:16" x14ac:dyDescent="0.3">
      <c r="A14" t="s">
        <v>49</v>
      </c>
      <c r="B14" t="s">
        <v>33</v>
      </c>
      <c r="C14" s="8"/>
      <c r="D14" s="8"/>
      <c r="E14" s="8"/>
      <c r="F14" s="8"/>
      <c r="G14" s="9">
        <v>10</v>
      </c>
      <c r="H14" s="9">
        <v>10</v>
      </c>
      <c r="I14" s="9">
        <v>8</v>
      </c>
      <c r="J14" s="9">
        <v>8</v>
      </c>
      <c r="K14" s="9">
        <v>8</v>
      </c>
      <c r="L14" s="9">
        <v>8</v>
      </c>
      <c r="M14" s="8"/>
      <c r="N14" s="8"/>
      <c r="O14" s="8"/>
      <c r="P14" s="3" t="s">
        <v>50</v>
      </c>
    </row>
    <row r="15" spans="1:16" x14ac:dyDescent="0.3">
      <c r="A15" t="s">
        <v>51</v>
      </c>
      <c r="B15" t="s">
        <v>52</v>
      </c>
      <c r="C15" s="8"/>
      <c r="D15" s="8"/>
      <c r="E15" s="8"/>
      <c r="F15" s="8"/>
      <c r="G15" s="9">
        <v>0.65</v>
      </c>
      <c r="H15" s="9">
        <v>0.65</v>
      </c>
      <c r="I15" s="9">
        <v>0.65</v>
      </c>
      <c r="J15" s="9">
        <v>0.65</v>
      </c>
      <c r="K15" s="9">
        <v>0.65</v>
      </c>
      <c r="L15" s="9">
        <v>0.65</v>
      </c>
      <c r="M15" s="8"/>
      <c r="N15" s="8"/>
      <c r="O15" s="8"/>
      <c r="P15" s="3" t="s">
        <v>53</v>
      </c>
    </row>
    <row r="16" spans="1:16" x14ac:dyDescent="0.3">
      <c r="A16" t="s">
        <v>54</v>
      </c>
      <c r="B16" t="s">
        <v>55</v>
      </c>
      <c r="C16" s="10"/>
      <c r="D16" s="10"/>
      <c r="E16" s="10"/>
      <c r="F16" s="10"/>
      <c r="G16" s="11">
        <v>170</v>
      </c>
      <c r="H16" s="11">
        <v>165</v>
      </c>
      <c r="I16" s="11">
        <v>160</v>
      </c>
      <c r="J16" s="11">
        <v>160</v>
      </c>
      <c r="K16" s="11">
        <v>160</v>
      </c>
      <c r="L16" s="11">
        <v>160</v>
      </c>
      <c r="M16" s="10"/>
      <c r="N16" s="10"/>
      <c r="O16" s="10"/>
      <c r="P16" s="3" t="s">
        <v>56</v>
      </c>
    </row>
    <row r="17" spans="1:16" x14ac:dyDescent="0.3">
      <c r="A17" t="s">
        <v>57</v>
      </c>
      <c r="B17" t="s">
        <v>55</v>
      </c>
      <c r="C17" s="10"/>
      <c r="D17" s="10"/>
      <c r="E17" s="10"/>
      <c r="F17" s="10"/>
      <c r="G17" s="11">
        <v>31</v>
      </c>
      <c r="H17" s="11">
        <v>31</v>
      </c>
      <c r="I17" s="11">
        <v>31</v>
      </c>
      <c r="J17" s="11">
        <v>31</v>
      </c>
      <c r="K17" s="11">
        <v>31</v>
      </c>
      <c r="L17" s="11">
        <v>31</v>
      </c>
      <c r="M17" s="10"/>
      <c r="N17" s="10"/>
      <c r="O17" s="10"/>
      <c r="P17" s="3" t="s">
        <v>58</v>
      </c>
    </row>
    <row r="18" spans="1:16" x14ac:dyDescent="0.3">
      <c r="A18" t="s">
        <v>59</v>
      </c>
      <c r="B18" t="s">
        <v>60</v>
      </c>
      <c r="C18" s="8"/>
      <c r="D18" s="8"/>
      <c r="E18" s="8"/>
      <c r="F18" s="8"/>
      <c r="G18" s="9">
        <v>18</v>
      </c>
      <c r="H18" s="9">
        <v>18</v>
      </c>
      <c r="I18" s="9">
        <v>18</v>
      </c>
      <c r="J18" s="9">
        <v>18</v>
      </c>
      <c r="K18" s="9">
        <v>18</v>
      </c>
      <c r="L18" s="9">
        <v>18</v>
      </c>
      <c r="M18" s="8"/>
      <c r="N18" s="8"/>
      <c r="O18" s="8"/>
      <c r="P18" s="3" t="s">
        <v>61</v>
      </c>
    </row>
    <row r="19" spans="1:16" x14ac:dyDescent="0.3">
      <c r="A19" t="s">
        <v>62</v>
      </c>
      <c r="B19" t="s">
        <v>55</v>
      </c>
      <c r="C19" s="10"/>
      <c r="D19" s="10"/>
      <c r="E19" s="10"/>
      <c r="F19" s="10"/>
      <c r="G19" s="11">
        <v>1050</v>
      </c>
      <c r="H19" s="11">
        <v>1050</v>
      </c>
      <c r="I19" s="11">
        <v>1050</v>
      </c>
      <c r="J19" s="11">
        <v>1050</v>
      </c>
      <c r="K19" s="11">
        <v>1050</v>
      </c>
      <c r="L19" s="11">
        <v>1050</v>
      </c>
      <c r="M19" s="10"/>
      <c r="N19" s="10"/>
      <c r="O19" s="10"/>
      <c r="P19" s="3" t="s">
        <v>63</v>
      </c>
    </row>
    <row r="20" spans="1:16" x14ac:dyDescent="0.3">
      <c r="A20" t="s">
        <v>64</v>
      </c>
      <c r="B20" t="s">
        <v>65</v>
      </c>
      <c r="C20" s="12"/>
      <c r="D20" s="12"/>
      <c r="E20" s="12"/>
      <c r="F20" s="12"/>
      <c r="G20" s="13">
        <v>170.19</v>
      </c>
      <c r="H20" s="13">
        <v>172.23230000000001</v>
      </c>
      <c r="I20" s="13">
        <v>174.29910000000001</v>
      </c>
      <c r="J20" s="13">
        <v>176.39070000000001</v>
      </c>
      <c r="K20" s="13">
        <v>178.50729999999999</v>
      </c>
      <c r="L20" s="13">
        <v>180.64940000000001</v>
      </c>
      <c r="M20" s="12"/>
      <c r="N20" s="12"/>
      <c r="O20" s="12"/>
      <c r="P20" s="3" t="s">
        <v>66</v>
      </c>
    </row>
    <row r="21" spans="1:16" x14ac:dyDescent="0.3">
      <c r="A21" t="s">
        <v>67</v>
      </c>
      <c r="B21" t="s">
        <v>68</v>
      </c>
      <c r="C21" s="10"/>
      <c r="D21" s="10"/>
      <c r="E21" s="10"/>
      <c r="F21" s="10"/>
      <c r="G21" s="11">
        <v>1.6</v>
      </c>
      <c r="H21" s="11">
        <v>1.6</v>
      </c>
      <c r="I21" s="11">
        <v>1.6</v>
      </c>
      <c r="J21" s="11">
        <v>1.6</v>
      </c>
      <c r="K21" s="11">
        <v>1.6</v>
      </c>
      <c r="L21" s="11">
        <v>1.6</v>
      </c>
      <c r="M21" s="10"/>
      <c r="N21" s="10"/>
      <c r="O21" s="10"/>
      <c r="P21" s="3" t="s">
        <v>69</v>
      </c>
    </row>
    <row r="22" spans="1:16" x14ac:dyDescent="0.3">
      <c r="A22" t="s">
        <v>70</v>
      </c>
      <c r="B22" t="s">
        <v>71</v>
      </c>
      <c r="C22" s="8"/>
      <c r="D22" s="8"/>
      <c r="E22" s="8"/>
      <c r="F22" s="8"/>
      <c r="G22" s="9">
        <v>0.7</v>
      </c>
      <c r="H22" s="9">
        <v>0.7</v>
      </c>
      <c r="I22" s="9">
        <v>3.2</v>
      </c>
      <c r="J22" s="9">
        <v>1</v>
      </c>
      <c r="K22" s="9">
        <v>0.7</v>
      </c>
      <c r="L22" s="9">
        <v>0.7</v>
      </c>
      <c r="M22" s="8"/>
      <c r="N22" s="8"/>
      <c r="O22" s="8"/>
      <c r="P22" s="3" t="s">
        <v>72</v>
      </c>
    </row>
    <row r="24" spans="1:16" x14ac:dyDescent="0.3">
      <c r="A24" s="7" t="s">
        <v>73</v>
      </c>
    </row>
    <row r="25" spans="1:16" x14ac:dyDescent="0.3">
      <c r="A25" t="s">
        <v>74</v>
      </c>
      <c r="B25" t="s">
        <v>75</v>
      </c>
      <c r="C25" s="14">
        <v>133.6</v>
      </c>
      <c r="D25" s="14">
        <v>121.9</v>
      </c>
      <c r="E25" s="14">
        <v>156.19999999999999</v>
      </c>
      <c r="F25" s="14">
        <v>148.30000000000001</v>
      </c>
      <c r="G25" s="10">
        <f t="shared" ref="G25:L25" si="0">C25*(1+G7/100)</f>
        <v>150.29999999999998</v>
      </c>
      <c r="H25" s="10">
        <f t="shared" si="0"/>
        <v>136.52800000000002</v>
      </c>
      <c r="I25" s="10">
        <f t="shared" si="0"/>
        <v>174.94400000000002</v>
      </c>
      <c r="J25" s="10">
        <f t="shared" si="0"/>
        <v>166.09600000000003</v>
      </c>
      <c r="K25" s="10">
        <f t="shared" si="0"/>
        <v>168.33599999999998</v>
      </c>
      <c r="L25" s="10">
        <f t="shared" si="0"/>
        <v>152.91136000000003</v>
      </c>
      <c r="M25" s="14">
        <v>533</v>
      </c>
      <c r="N25" s="10">
        <f>E25+F25+G25+H25</f>
        <v>591.32799999999997</v>
      </c>
      <c r="O25" s="10">
        <f>I25+J25+K25+L25</f>
        <v>662.28736000000015</v>
      </c>
      <c r="P25" s="3" t="s">
        <v>76</v>
      </c>
    </row>
    <row r="26" spans="1:16" x14ac:dyDescent="0.3">
      <c r="A26" t="s">
        <v>77</v>
      </c>
      <c r="B26" t="s">
        <v>55</v>
      </c>
      <c r="C26" s="14">
        <v>22892</v>
      </c>
      <c r="D26" s="14">
        <v>20400</v>
      </c>
      <c r="E26" s="14">
        <v>29187</v>
      </c>
      <c r="F26" s="14">
        <v>27247</v>
      </c>
      <c r="G26" s="10">
        <f t="shared" ref="G26:L26" si="1">C26*(1+G7/100)*(1+G8/100)*(1+G9/100)</f>
        <v>26863.990919999997</v>
      </c>
      <c r="H26" s="10">
        <f t="shared" si="1"/>
        <v>23553.08928</v>
      </c>
      <c r="I26" s="10">
        <f t="shared" si="1"/>
        <v>33535.442707200003</v>
      </c>
      <c r="J26" s="10">
        <f t="shared" si="1"/>
        <v>31432.139200000005</v>
      </c>
      <c r="K26" s="10">
        <f t="shared" si="1"/>
        <v>31207.23202478918</v>
      </c>
      <c r="L26" s="10">
        <f t="shared" si="1"/>
        <v>27170.843793408003</v>
      </c>
      <c r="M26" s="14">
        <v>91292</v>
      </c>
      <c r="N26" s="10">
        <f>E26+F26+G26+H26</f>
        <v>106851.0802</v>
      </c>
      <c r="O26" s="10">
        <f>I26+J26+K26+L26</f>
        <v>123345.65772539719</v>
      </c>
      <c r="P26" s="3" t="s">
        <v>78</v>
      </c>
    </row>
    <row r="27" spans="1:16" x14ac:dyDescent="0.3">
      <c r="A27" t="s">
        <v>79</v>
      </c>
      <c r="B27" t="s">
        <v>65</v>
      </c>
      <c r="C27" s="8">
        <f t="shared" ref="C27:O27" si="2">C26/C25</f>
        <v>171.34730538922156</v>
      </c>
      <c r="D27" s="8">
        <f t="shared" si="2"/>
        <v>167.35028712059065</v>
      </c>
      <c r="E27" s="8">
        <f t="shared" si="2"/>
        <v>186.85659411011525</v>
      </c>
      <c r="F27" s="8">
        <f t="shared" si="2"/>
        <v>183.72892784895481</v>
      </c>
      <c r="G27" s="8">
        <f t="shared" si="2"/>
        <v>178.73580119760479</v>
      </c>
      <c r="H27" s="8">
        <f t="shared" si="2"/>
        <v>172.51471698113204</v>
      </c>
      <c r="I27" s="8">
        <f t="shared" si="2"/>
        <v>191.69244276568503</v>
      </c>
      <c r="J27" s="8">
        <f t="shared" si="2"/>
        <v>189.24079568442346</v>
      </c>
      <c r="K27" s="8">
        <f t="shared" si="2"/>
        <v>185.38656036016766</v>
      </c>
      <c r="L27" s="8">
        <f t="shared" si="2"/>
        <v>177.69015849056603</v>
      </c>
      <c r="M27" s="8">
        <f t="shared" si="2"/>
        <v>171.27954971857412</v>
      </c>
      <c r="N27" s="8">
        <f t="shared" si="2"/>
        <v>180.69680481898371</v>
      </c>
      <c r="O27" s="8">
        <f t="shared" si="2"/>
        <v>186.24190219393159</v>
      </c>
    </row>
    <row r="28" spans="1:16" x14ac:dyDescent="0.3">
      <c r="A28" t="s">
        <v>80</v>
      </c>
      <c r="B28" t="s">
        <v>55</v>
      </c>
      <c r="C28" s="14">
        <v>4095</v>
      </c>
      <c r="D28" s="14">
        <v>2778</v>
      </c>
      <c r="E28" s="14">
        <v>2678</v>
      </c>
      <c r="F28" s="14">
        <v>3608</v>
      </c>
      <c r="G28" s="10">
        <f t="shared" ref="G28:L28" si="3">C28*(1+G7/100)*(1+G8/100)*(1+G10/100)*(1+(G11+G12)/100)</f>
        <v>4882.1818499999999</v>
      </c>
      <c r="H28" s="10">
        <f t="shared" si="3"/>
        <v>3188.0550239999998</v>
      </c>
      <c r="I28" s="10">
        <f t="shared" si="3"/>
        <v>3120.00250744</v>
      </c>
      <c r="J28" s="10">
        <f t="shared" si="3"/>
        <v>4211.9477671040004</v>
      </c>
      <c r="K28" s="10">
        <f t="shared" si="3"/>
        <v>5710.8496906355076</v>
      </c>
      <c r="L28" s="10">
        <f t="shared" si="3"/>
        <v>3747.8380053409819</v>
      </c>
      <c r="M28" s="14">
        <v>12241</v>
      </c>
      <c r="N28" s="10">
        <f>E28+F28+G28+H28</f>
        <v>14356.236874</v>
      </c>
      <c r="O28" s="10">
        <f>I28+J28+K28+L28</f>
        <v>16790.637970520489</v>
      </c>
      <c r="P28" s="3" t="s">
        <v>76</v>
      </c>
    </row>
    <row r="29" spans="1:16" x14ac:dyDescent="0.3">
      <c r="A29" t="s">
        <v>81</v>
      </c>
      <c r="B29" t="s">
        <v>60</v>
      </c>
      <c r="C29" s="8">
        <f t="shared" ref="C29:O29" si="4">C28/C26*100</f>
        <v>17.888345273457976</v>
      </c>
      <c r="D29" s="8">
        <f t="shared" si="4"/>
        <v>13.617647058823529</v>
      </c>
      <c r="E29" s="8">
        <f t="shared" si="4"/>
        <v>9.1753177784630147</v>
      </c>
      <c r="F29" s="8">
        <f t="shared" si="4"/>
        <v>13.24182478805006</v>
      </c>
      <c r="G29" s="8">
        <f t="shared" si="4"/>
        <v>18.173702725477249</v>
      </c>
      <c r="H29" s="8">
        <f t="shared" si="4"/>
        <v>13.53561304039688</v>
      </c>
      <c r="I29" s="8">
        <f t="shared" si="4"/>
        <v>9.3035971961990551</v>
      </c>
      <c r="J29" s="8">
        <f t="shared" si="4"/>
        <v>13.400130803391196</v>
      </c>
      <c r="K29" s="8">
        <f t="shared" si="4"/>
        <v>18.299763612803424</v>
      </c>
      <c r="L29" s="8">
        <f t="shared" si="4"/>
        <v>13.79360182494684</v>
      </c>
      <c r="M29" s="8">
        <f t="shared" si="4"/>
        <v>13.40862288042764</v>
      </c>
      <c r="N29" s="8">
        <f t="shared" si="4"/>
        <v>13.435743323444663</v>
      </c>
      <c r="O29" s="8">
        <f t="shared" si="4"/>
        <v>13.612670506732606</v>
      </c>
      <c r="P29" s="3" t="s">
        <v>82</v>
      </c>
    </row>
    <row r="30" spans="1:16" x14ac:dyDescent="0.3">
      <c r="A30" t="s">
        <v>83</v>
      </c>
      <c r="B30" t="s">
        <v>60</v>
      </c>
      <c r="C30" s="8">
        <f>C31/C28*100</f>
        <v>50.085470085470085</v>
      </c>
      <c r="D30" s="8">
        <f>D31/D28*100</f>
        <v>28.293736501079913</v>
      </c>
      <c r="E30" s="8">
        <f>E31/E28*100</f>
        <v>19.380134428678115</v>
      </c>
      <c r="F30" s="8">
        <f>F31/F28*100</f>
        <v>34.950110864745007</v>
      </c>
      <c r="G30" s="8">
        <f t="shared" ref="G30:L30" si="5">C30+G13</f>
        <v>50.385470085470082</v>
      </c>
      <c r="H30" s="8">
        <f t="shared" si="5"/>
        <v>31.370736501079911</v>
      </c>
      <c r="I30" s="8">
        <f t="shared" si="5"/>
        <v>19.872234428678116</v>
      </c>
      <c r="J30" s="8">
        <f t="shared" si="5"/>
        <v>35.442210864745007</v>
      </c>
      <c r="K30" s="8">
        <f t="shared" si="5"/>
        <v>50.877570085470083</v>
      </c>
      <c r="L30" s="8">
        <f t="shared" si="5"/>
        <v>31.862836501079911</v>
      </c>
      <c r="M30" s="8">
        <f>M31/M28*100</f>
        <v>35.10334123029164</v>
      </c>
      <c r="N30" s="8">
        <f>N31/N28*100</f>
        <v>36.500001097979094</v>
      </c>
      <c r="O30" s="8">
        <f>O31/O28*100</f>
        <v>36.99996797198834</v>
      </c>
    </row>
    <row r="31" spans="1:16" x14ac:dyDescent="0.3">
      <c r="A31" t="s">
        <v>84</v>
      </c>
      <c r="B31" t="s">
        <v>55</v>
      </c>
      <c r="C31" s="14">
        <v>2051</v>
      </c>
      <c r="D31" s="14">
        <v>786</v>
      </c>
      <c r="E31" s="14">
        <v>519</v>
      </c>
      <c r="F31" s="14">
        <v>1261</v>
      </c>
      <c r="G31" s="10">
        <f t="shared" ref="G31:L31" si="6">G28*G30/100</f>
        <v>2459.9102755499998</v>
      </c>
      <c r="H31" s="10">
        <f t="shared" si="6"/>
        <v>1000.1163410884798</v>
      </c>
      <c r="I31" s="10">
        <f t="shared" si="6"/>
        <v>620.01421245911217</v>
      </c>
      <c r="J31" s="10">
        <f t="shared" si="6"/>
        <v>1492.8074091299186</v>
      </c>
      <c r="K31" s="10">
        <f t="shared" si="6"/>
        <v>2905.5415538289317</v>
      </c>
      <c r="L31" s="10">
        <f t="shared" si="6"/>
        <v>1194.1674959671318</v>
      </c>
      <c r="M31" s="14">
        <v>4297</v>
      </c>
      <c r="N31" s="10">
        <f t="shared" ref="N31:N38" si="7">E31+F31+G31+H31</f>
        <v>5240.0266166384799</v>
      </c>
      <c r="O31" s="10">
        <f t="shared" ref="O31:O38" si="8">I31+J31+K31+L31</f>
        <v>6212.5306713850941</v>
      </c>
      <c r="P31" s="3" t="s">
        <v>76</v>
      </c>
    </row>
    <row r="32" spans="1:16" x14ac:dyDescent="0.3">
      <c r="A32" t="s">
        <v>85</v>
      </c>
      <c r="B32" t="s">
        <v>55</v>
      </c>
      <c r="C32" s="14">
        <v>399</v>
      </c>
      <c r="D32" s="14">
        <v>400</v>
      </c>
      <c r="E32" s="14">
        <v>410</v>
      </c>
      <c r="F32" s="14">
        <v>487</v>
      </c>
      <c r="G32" s="10">
        <f t="shared" ref="G32:L32" si="9">C32*(1+G14/100)</f>
        <v>438.90000000000003</v>
      </c>
      <c r="H32" s="10">
        <f t="shared" si="9"/>
        <v>440.00000000000006</v>
      </c>
      <c r="I32" s="10">
        <f t="shared" si="9"/>
        <v>442.8</v>
      </c>
      <c r="J32" s="10">
        <f t="shared" si="9"/>
        <v>525.96</v>
      </c>
      <c r="K32" s="10">
        <f t="shared" si="9"/>
        <v>474.01200000000006</v>
      </c>
      <c r="L32" s="10">
        <f t="shared" si="9"/>
        <v>475.2000000000001</v>
      </c>
      <c r="M32" s="14">
        <v>1581</v>
      </c>
      <c r="N32" s="10">
        <f t="shared" si="7"/>
        <v>1775.9</v>
      </c>
      <c r="O32" s="10">
        <f t="shared" si="8"/>
        <v>1917.972</v>
      </c>
      <c r="P32" s="3" t="s">
        <v>86</v>
      </c>
    </row>
    <row r="33" spans="1:16" x14ac:dyDescent="0.3">
      <c r="A33" t="s">
        <v>51</v>
      </c>
      <c r="B33" t="s">
        <v>55</v>
      </c>
      <c r="C33" s="14">
        <v>22</v>
      </c>
      <c r="D33" s="14">
        <v>23</v>
      </c>
      <c r="E33" s="14">
        <v>22</v>
      </c>
      <c r="F33" s="14">
        <v>17</v>
      </c>
      <c r="G33" s="10">
        <f t="shared" ref="G33:L33" si="10">G28*G15/100</f>
        <v>31.734182024999999</v>
      </c>
      <c r="H33" s="10">
        <f t="shared" si="10"/>
        <v>20.722357656</v>
      </c>
      <c r="I33" s="10">
        <f t="shared" si="10"/>
        <v>20.28001629836</v>
      </c>
      <c r="J33" s="10">
        <f t="shared" si="10"/>
        <v>27.377660486176005</v>
      </c>
      <c r="K33" s="10">
        <f t="shared" si="10"/>
        <v>37.120522989130798</v>
      </c>
      <c r="L33" s="10">
        <f t="shared" si="10"/>
        <v>24.360947034716382</v>
      </c>
      <c r="M33" s="14">
        <v>91</v>
      </c>
      <c r="N33" s="10">
        <f t="shared" si="7"/>
        <v>91.456539680999995</v>
      </c>
      <c r="O33" s="10">
        <f t="shared" si="8"/>
        <v>109.1391468083832</v>
      </c>
      <c r="P33" s="3" t="s">
        <v>87</v>
      </c>
    </row>
    <row r="34" spans="1:16" x14ac:dyDescent="0.3">
      <c r="A34" t="s">
        <v>88</v>
      </c>
      <c r="B34" t="s">
        <v>55</v>
      </c>
      <c r="C34" s="14">
        <v>1599</v>
      </c>
      <c r="D34" s="14">
        <v>193</v>
      </c>
      <c r="E34" s="14">
        <v>166</v>
      </c>
      <c r="F34" s="14">
        <v>744</v>
      </c>
      <c r="G34" s="10">
        <f t="shared" ref="G34:L34" si="11">G31-G32-G33</f>
        <v>1989.2760935249996</v>
      </c>
      <c r="H34" s="10">
        <f t="shared" si="11"/>
        <v>539.39398343247967</v>
      </c>
      <c r="I34" s="10">
        <f t="shared" si="11"/>
        <v>156.93419616075215</v>
      </c>
      <c r="J34" s="10">
        <f t="shared" si="11"/>
        <v>939.46974864374261</v>
      </c>
      <c r="K34" s="10">
        <f t="shared" si="11"/>
        <v>2394.4090308398008</v>
      </c>
      <c r="L34" s="10">
        <f t="shared" si="11"/>
        <v>694.60654893241542</v>
      </c>
      <c r="M34" s="14">
        <v>2320</v>
      </c>
      <c r="N34" s="10">
        <f t="shared" si="7"/>
        <v>3438.6700769574795</v>
      </c>
      <c r="O34" s="10">
        <f t="shared" si="8"/>
        <v>4185.4195245767114</v>
      </c>
      <c r="P34" s="3" t="s">
        <v>89</v>
      </c>
    </row>
    <row r="35" spans="1:16" x14ac:dyDescent="0.3">
      <c r="A35" t="s">
        <v>54</v>
      </c>
      <c r="B35" t="s">
        <v>55</v>
      </c>
      <c r="C35" s="14">
        <v>180</v>
      </c>
      <c r="D35" s="14">
        <v>162</v>
      </c>
      <c r="E35" s="14">
        <v>155</v>
      </c>
      <c r="F35" s="14">
        <v>183</v>
      </c>
      <c r="G35" s="10">
        <f t="shared" ref="G35:L36" si="12">G16</f>
        <v>170</v>
      </c>
      <c r="H35" s="10">
        <f t="shared" si="12"/>
        <v>165</v>
      </c>
      <c r="I35" s="10">
        <f t="shared" si="12"/>
        <v>160</v>
      </c>
      <c r="J35" s="10">
        <f t="shared" si="12"/>
        <v>160</v>
      </c>
      <c r="K35" s="10">
        <f t="shared" si="12"/>
        <v>160</v>
      </c>
      <c r="L35" s="10">
        <f t="shared" si="12"/>
        <v>160</v>
      </c>
      <c r="M35" s="14">
        <v>705</v>
      </c>
      <c r="N35" s="10">
        <f t="shared" si="7"/>
        <v>673</v>
      </c>
      <c r="O35" s="10">
        <f t="shared" si="8"/>
        <v>640</v>
      </c>
      <c r="P35" s="3" t="s">
        <v>90</v>
      </c>
    </row>
    <row r="36" spans="1:16" x14ac:dyDescent="0.3">
      <c r="A36" t="s">
        <v>57</v>
      </c>
      <c r="B36" t="s">
        <v>55</v>
      </c>
      <c r="C36" s="14">
        <v>0</v>
      </c>
      <c r="D36" s="14">
        <v>0</v>
      </c>
      <c r="E36" s="14">
        <v>0</v>
      </c>
      <c r="F36" s="14">
        <v>37</v>
      </c>
      <c r="G36" s="10">
        <f t="shared" si="12"/>
        <v>31</v>
      </c>
      <c r="H36" s="10">
        <f t="shared" si="12"/>
        <v>31</v>
      </c>
      <c r="I36" s="10">
        <f t="shared" si="12"/>
        <v>31</v>
      </c>
      <c r="J36" s="10">
        <f t="shared" si="12"/>
        <v>31</v>
      </c>
      <c r="K36" s="10">
        <f t="shared" si="12"/>
        <v>31</v>
      </c>
      <c r="L36" s="10">
        <f t="shared" si="12"/>
        <v>31</v>
      </c>
      <c r="M36" s="14">
        <v>0</v>
      </c>
      <c r="N36" s="10">
        <f t="shared" si="7"/>
        <v>99</v>
      </c>
      <c r="O36" s="10">
        <f t="shared" si="8"/>
        <v>124</v>
      </c>
      <c r="P36" s="3" t="s">
        <v>90</v>
      </c>
    </row>
    <row r="37" spans="1:16" x14ac:dyDescent="0.3">
      <c r="A37" t="s">
        <v>91</v>
      </c>
      <c r="B37" t="s">
        <v>55</v>
      </c>
      <c r="C37" s="14">
        <v>13</v>
      </c>
      <c r="D37" s="14">
        <v>38</v>
      </c>
      <c r="E37" s="14">
        <v>-40</v>
      </c>
      <c r="F37" s="14">
        <v>7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4">
        <v>112</v>
      </c>
      <c r="N37" s="10">
        <f t="shared" si="7"/>
        <v>-33</v>
      </c>
      <c r="O37" s="10">
        <f t="shared" si="8"/>
        <v>0</v>
      </c>
      <c r="P37" s="3" t="s">
        <v>92</v>
      </c>
    </row>
    <row r="38" spans="1:16" x14ac:dyDescent="0.3">
      <c r="A38" t="s">
        <v>93</v>
      </c>
      <c r="B38" t="s">
        <v>55</v>
      </c>
      <c r="C38" s="10">
        <f t="shared" ref="C38:M38" si="13">C34+C35-C36+C37</f>
        <v>1792</v>
      </c>
      <c r="D38" s="10">
        <f t="shared" si="13"/>
        <v>393</v>
      </c>
      <c r="E38" s="10">
        <f t="shared" si="13"/>
        <v>281</v>
      </c>
      <c r="F38" s="10">
        <f t="shared" si="13"/>
        <v>897</v>
      </c>
      <c r="G38" s="10">
        <f t="shared" si="13"/>
        <v>2128.2760935249999</v>
      </c>
      <c r="H38" s="10">
        <f t="shared" si="13"/>
        <v>673.39398343247967</v>
      </c>
      <c r="I38" s="10">
        <f t="shared" si="13"/>
        <v>285.93419616075215</v>
      </c>
      <c r="J38" s="10">
        <f t="shared" si="13"/>
        <v>1068.4697486437426</v>
      </c>
      <c r="K38" s="10">
        <f t="shared" si="13"/>
        <v>2523.4090308398008</v>
      </c>
      <c r="L38" s="10">
        <f t="shared" si="13"/>
        <v>823.60654893241542</v>
      </c>
      <c r="M38" s="10">
        <f t="shared" si="13"/>
        <v>3137</v>
      </c>
      <c r="N38" s="10">
        <f t="shared" si="7"/>
        <v>3979.6700769574795</v>
      </c>
      <c r="O38" s="10">
        <f t="shared" si="8"/>
        <v>4701.4195245767114</v>
      </c>
    </row>
    <row r="39" spans="1:16" x14ac:dyDescent="0.3">
      <c r="A39" t="s">
        <v>59</v>
      </c>
      <c r="B39" t="s">
        <v>60</v>
      </c>
      <c r="C39" s="8">
        <f>C40/C38*100</f>
        <v>23.325892857142858</v>
      </c>
      <c r="D39" s="8">
        <f>D40/D38*100</f>
        <v>13.231552162849871</v>
      </c>
      <c r="E39" s="8">
        <f>E40/E38*100</f>
        <v>43.060498220640568</v>
      </c>
      <c r="F39" s="8">
        <f>F40/F38*100</f>
        <v>9.0301003344481607</v>
      </c>
      <c r="G39" s="8">
        <f t="shared" ref="G39:L39" si="14">G18</f>
        <v>18</v>
      </c>
      <c r="H39" s="8">
        <f t="shared" si="14"/>
        <v>18</v>
      </c>
      <c r="I39" s="8">
        <f t="shared" si="14"/>
        <v>18</v>
      </c>
      <c r="J39" s="8">
        <f t="shared" si="14"/>
        <v>18</v>
      </c>
      <c r="K39" s="8">
        <f t="shared" si="14"/>
        <v>18</v>
      </c>
      <c r="L39" s="8">
        <f t="shared" si="14"/>
        <v>18</v>
      </c>
      <c r="M39" s="8">
        <f>M40/M38*100</f>
        <v>19.95537137392413</v>
      </c>
      <c r="N39" s="8">
        <f>N40/N38*100</f>
        <v>17.747717780473007</v>
      </c>
      <c r="O39" s="8">
        <f>O40/O38*100</f>
        <v>18.000000000000004</v>
      </c>
    </row>
    <row r="40" spans="1:16" x14ac:dyDescent="0.3">
      <c r="A40" t="s">
        <v>94</v>
      </c>
      <c r="B40" t="s">
        <v>55</v>
      </c>
      <c r="C40" s="14">
        <v>418</v>
      </c>
      <c r="D40" s="14">
        <v>52</v>
      </c>
      <c r="E40" s="14">
        <v>121</v>
      </c>
      <c r="F40" s="14">
        <v>81</v>
      </c>
      <c r="G40" s="10">
        <f t="shared" ref="G40:L40" si="15">G38*G39/100</f>
        <v>383.08969683449999</v>
      </c>
      <c r="H40" s="10">
        <f t="shared" si="15"/>
        <v>121.21091701784633</v>
      </c>
      <c r="I40" s="10">
        <f t="shared" si="15"/>
        <v>51.468155308935387</v>
      </c>
      <c r="J40" s="10">
        <f t="shared" si="15"/>
        <v>192.32455475587369</v>
      </c>
      <c r="K40" s="10">
        <f t="shared" si="15"/>
        <v>454.21362555116417</v>
      </c>
      <c r="L40" s="10">
        <f t="shared" si="15"/>
        <v>148.24917880783477</v>
      </c>
      <c r="M40" s="14">
        <v>626</v>
      </c>
      <c r="N40" s="10">
        <f>E40+F40+G40+H40</f>
        <v>706.30061385234637</v>
      </c>
      <c r="O40" s="10">
        <f>I40+J40+K40+L40</f>
        <v>846.25551442380811</v>
      </c>
      <c r="P40" s="3" t="s">
        <v>95</v>
      </c>
    </row>
    <row r="41" spans="1:16" x14ac:dyDescent="0.3">
      <c r="A41" t="s">
        <v>96</v>
      </c>
      <c r="B41" t="s">
        <v>55</v>
      </c>
      <c r="C41" s="14">
        <f t="shared" ref="C41:M41" si="16">C38-C40</f>
        <v>1374</v>
      </c>
      <c r="D41" s="14">
        <f t="shared" si="16"/>
        <v>341</v>
      </c>
      <c r="E41" s="14">
        <f t="shared" si="16"/>
        <v>160</v>
      </c>
      <c r="F41" s="14">
        <f t="shared" si="16"/>
        <v>816</v>
      </c>
      <c r="G41" s="10">
        <f t="shared" si="16"/>
        <v>1745.1863966904998</v>
      </c>
      <c r="H41" s="10">
        <f t="shared" si="16"/>
        <v>552.18306641463334</v>
      </c>
      <c r="I41" s="10">
        <f t="shared" si="16"/>
        <v>234.46604085181676</v>
      </c>
      <c r="J41" s="10">
        <f t="shared" si="16"/>
        <v>876.14519388786891</v>
      </c>
      <c r="K41" s="10">
        <f t="shared" si="16"/>
        <v>2069.1954052886367</v>
      </c>
      <c r="L41" s="10">
        <f t="shared" si="16"/>
        <v>675.35737012458071</v>
      </c>
      <c r="M41" s="14">
        <f t="shared" si="16"/>
        <v>2511</v>
      </c>
      <c r="N41" s="10">
        <f>E41+F41+G41+H41</f>
        <v>3273.369463105133</v>
      </c>
      <c r="O41" s="10">
        <f>I41+J41+K41+L41</f>
        <v>3855.1640101529028</v>
      </c>
      <c r="P41" s="3" t="s">
        <v>76</v>
      </c>
    </row>
    <row r="42" spans="1:16" x14ac:dyDescent="0.3">
      <c r="A42" t="s">
        <v>97</v>
      </c>
      <c r="B42" t="s">
        <v>75</v>
      </c>
      <c r="C42" s="14">
        <v>621</v>
      </c>
      <c r="D42" s="14">
        <v>613</v>
      </c>
      <c r="E42" s="14">
        <v>608</v>
      </c>
      <c r="F42" s="14">
        <v>597</v>
      </c>
      <c r="G42" s="10">
        <f t="shared" ref="G42:L42" si="17">F42-G19/G20+G21</f>
        <v>592.43042481931957</v>
      </c>
      <c r="H42" s="10">
        <f t="shared" si="17"/>
        <v>587.93400736452168</v>
      </c>
      <c r="I42" s="10">
        <f t="shared" si="17"/>
        <v>583.50987987332985</v>
      </c>
      <c r="J42" s="10">
        <f t="shared" si="17"/>
        <v>579.15718508840075</v>
      </c>
      <c r="K42" s="10">
        <f t="shared" si="17"/>
        <v>574.87507270420133</v>
      </c>
      <c r="L42" s="10">
        <f t="shared" si="17"/>
        <v>570.66270908716194</v>
      </c>
      <c r="M42" s="14">
        <v>623</v>
      </c>
      <c r="N42" s="10">
        <f>AVERAGE(E42:H42)</f>
        <v>596.34110804596025</v>
      </c>
      <c r="O42" s="10">
        <f>AVERAGE(I42:L42)</f>
        <v>577.0512116882735</v>
      </c>
      <c r="P42" s="3" t="s">
        <v>98</v>
      </c>
    </row>
    <row r="43" spans="1:16" x14ac:dyDescent="0.3">
      <c r="A43" t="s">
        <v>99</v>
      </c>
      <c r="B43" t="s">
        <v>65</v>
      </c>
      <c r="C43" s="12">
        <f t="shared" ref="C43:O43" si="18">C41/C42</f>
        <v>2.21256038647343</v>
      </c>
      <c r="D43" s="12">
        <f t="shared" si="18"/>
        <v>0.55628058727569329</v>
      </c>
      <c r="E43" s="12">
        <f t="shared" si="18"/>
        <v>0.26315789473684209</v>
      </c>
      <c r="F43" s="12">
        <f t="shared" si="18"/>
        <v>1.3668341708542713</v>
      </c>
      <c r="G43" s="12">
        <f t="shared" si="18"/>
        <v>2.9458081887383649</v>
      </c>
      <c r="H43" s="12">
        <f t="shared" si="18"/>
        <v>0.93919225541970974</v>
      </c>
      <c r="I43" s="12">
        <f t="shared" si="18"/>
        <v>0.40182017295528122</v>
      </c>
      <c r="J43" s="12">
        <f t="shared" si="18"/>
        <v>1.5127934461421502</v>
      </c>
      <c r="K43" s="12">
        <f t="shared" si="18"/>
        <v>3.5993827242416012</v>
      </c>
      <c r="L43" s="12">
        <f t="shared" si="18"/>
        <v>1.183461542817279</v>
      </c>
      <c r="M43" s="12">
        <f t="shared" si="18"/>
        <v>4.0304975922953448</v>
      </c>
      <c r="N43" s="12">
        <f t="shared" si="18"/>
        <v>5.489089078281105</v>
      </c>
      <c r="O43" s="12">
        <f t="shared" si="18"/>
        <v>6.6808004767443157</v>
      </c>
      <c r="P43" s="3" t="s">
        <v>100</v>
      </c>
    </row>
    <row r="44" spans="1:16" x14ac:dyDescent="0.3">
      <c r="A44" t="s">
        <v>101</v>
      </c>
      <c r="B44" t="s">
        <v>55</v>
      </c>
      <c r="C44" s="14">
        <v>1349</v>
      </c>
      <c r="D44" s="14">
        <v>521</v>
      </c>
      <c r="E44" s="14">
        <v>1704</v>
      </c>
      <c r="F44" s="14">
        <v>1253</v>
      </c>
      <c r="G44" s="10">
        <f t="shared" ref="G44:L44" si="19">G31*G22</f>
        <v>1721.9371928849998</v>
      </c>
      <c r="H44" s="10">
        <f t="shared" si="19"/>
        <v>700.08143876193583</v>
      </c>
      <c r="I44" s="10">
        <f t="shared" si="19"/>
        <v>1984.045479869159</v>
      </c>
      <c r="J44" s="10">
        <f t="shared" si="19"/>
        <v>1492.8074091299186</v>
      </c>
      <c r="K44" s="10">
        <f t="shared" si="19"/>
        <v>2033.879087680252</v>
      </c>
      <c r="L44" s="10">
        <f t="shared" si="19"/>
        <v>835.91724717699219</v>
      </c>
      <c r="M44" s="14">
        <v>4613</v>
      </c>
      <c r="N44" s="10">
        <f>E44+F44+G44+H44</f>
        <v>5379.0186316469353</v>
      </c>
      <c r="O44" s="10">
        <f>I44+J44+K44+L44</f>
        <v>6346.6492238563224</v>
      </c>
      <c r="P44" s="3" t="s">
        <v>102</v>
      </c>
    </row>
    <row r="45" spans="1:16" x14ac:dyDescent="0.3">
      <c r="A45" t="s">
        <v>62</v>
      </c>
      <c r="B45" t="s">
        <v>55</v>
      </c>
      <c r="C45" s="14">
        <v>877</v>
      </c>
      <c r="D45" s="14">
        <v>1095</v>
      </c>
      <c r="E45" s="14">
        <v>1088</v>
      </c>
      <c r="F45" s="14">
        <v>1051</v>
      </c>
      <c r="G45" s="10">
        <f t="shared" ref="G45:L45" si="20">G19</f>
        <v>1050</v>
      </c>
      <c r="H45" s="10">
        <f t="shared" si="20"/>
        <v>1050</v>
      </c>
      <c r="I45" s="10">
        <f t="shared" si="20"/>
        <v>1050</v>
      </c>
      <c r="J45" s="10">
        <f t="shared" si="20"/>
        <v>1050</v>
      </c>
      <c r="K45" s="10">
        <f t="shared" si="20"/>
        <v>1050</v>
      </c>
      <c r="L45" s="10">
        <f t="shared" si="20"/>
        <v>1050</v>
      </c>
      <c r="M45" s="14">
        <v>3789</v>
      </c>
      <c r="N45" s="10">
        <f>E45+F45+G45+H45</f>
        <v>4239</v>
      </c>
      <c r="O45" s="10">
        <f>I45+J45+K45+L45</f>
        <v>4200</v>
      </c>
      <c r="P45" s="3" t="s">
        <v>76</v>
      </c>
    </row>
    <row r="46" spans="1:16" x14ac:dyDescent="0.3">
      <c r="A46" t="s">
        <v>103</v>
      </c>
      <c r="B46" t="s">
        <v>55</v>
      </c>
      <c r="C46" s="10"/>
      <c r="D46" s="10"/>
      <c r="E46" s="10"/>
      <c r="F46" s="10"/>
      <c r="G46" s="10">
        <f t="shared" ref="G46:L46" si="21">0.35*G32</f>
        <v>153.61500000000001</v>
      </c>
      <c r="H46" s="10">
        <f t="shared" si="21"/>
        <v>154</v>
      </c>
      <c r="I46" s="10">
        <f t="shared" si="21"/>
        <v>154.97999999999999</v>
      </c>
      <c r="J46" s="10">
        <f t="shared" si="21"/>
        <v>184.08600000000001</v>
      </c>
      <c r="K46" s="10">
        <f t="shared" si="21"/>
        <v>165.9042</v>
      </c>
      <c r="L46" s="10">
        <f t="shared" si="21"/>
        <v>166.32000000000002</v>
      </c>
      <c r="M46" s="10"/>
      <c r="N46" s="10">
        <f>G46+H46</f>
        <v>307.61500000000001</v>
      </c>
      <c r="O46" s="10">
        <f>I46+J46+K46+L46</f>
        <v>671.29020000000003</v>
      </c>
      <c r="P46" s="3" t="s">
        <v>104</v>
      </c>
    </row>
    <row r="47" spans="1:16" x14ac:dyDescent="0.3">
      <c r="A47" t="s">
        <v>105</v>
      </c>
      <c r="B47" t="s">
        <v>55</v>
      </c>
      <c r="C47" s="14">
        <v>11684</v>
      </c>
      <c r="D47" s="14">
        <v>11014</v>
      </c>
      <c r="E47" s="14">
        <v>9530</v>
      </c>
      <c r="F47" s="14">
        <v>9593</v>
      </c>
      <c r="G47" s="10">
        <f t="shared" ref="G47:L47" si="22">F47+G44-G45-G46</f>
        <v>10111.322192885</v>
      </c>
      <c r="H47" s="10">
        <f t="shared" si="22"/>
        <v>9607.4036316469355</v>
      </c>
      <c r="I47" s="10">
        <f t="shared" si="22"/>
        <v>10386.469111516095</v>
      </c>
      <c r="J47" s="10">
        <f t="shared" si="22"/>
        <v>10645.190520646014</v>
      </c>
      <c r="K47" s="10">
        <f t="shared" si="22"/>
        <v>11463.165408326266</v>
      </c>
      <c r="L47" s="10">
        <f t="shared" si="22"/>
        <v>11082.762655503258</v>
      </c>
      <c r="M47" s="10">
        <f>D47</f>
        <v>11014</v>
      </c>
      <c r="N47" s="10">
        <f>H47</f>
        <v>9607.4036316469355</v>
      </c>
      <c r="O47" s="10">
        <f>L47</f>
        <v>11082.762655503258</v>
      </c>
      <c r="P47" s="3" t="s">
        <v>106</v>
      </c>
    </row>
    <row r="49" spans="1:15" x14ac:dyDescent="0.3">
      <c r="A49" s="7" t="s">
        <v>107</v>
      </c>
    </row>
    <row r="50" spans="1:15" x14ac:dyDescent="0.3">
      <c r="A50" t="s">
        <v>108</v>
      </c>
      <c r="B50" t="s">
        <v>33</v>
      </c>
      <c r="C50" s="8"/>
      <c r="D50" s="8"/>
      <c r="E50" s="8"/>
      <c r="F50" s="8"/>
      <c r="G50" s="8">
        <f t="shared" ref="G50:L53" si="23">(G25/C25-1)*100</f>
        <v>12.5</v>
      </c>
      <c r="H50" s="8">
        <f t="shared" si="23"/>
        <v>12.000000000000011</v>
      </c>
      <c r="I50" s="8">
        <f t="shared" si="23"/>
        <v>12.000000000000011</v>
      </c>
      <c r="J50" s="8">
        <f t="shared" si="23"/>
        <v>12.000000000000011</v>
      </c>
      <c r="K50" s="8">
        <f t="shared" si="23"/>
        <v>12.000000000000011</v>
      </c>
      <c r="L50" s="8">
        <f t="shared" si="23"/>
        <v>12.000000000000011</v>
      </c>
      <c r="M50" s="8"/>
      <c r="N50" s="8">
        <f t="shared" ref="N50:O53" si="24">(N25/M25-1)*100</f>
        <v>10.943339587242029</v>
      </c>
      <c r="O50" s="8">
        <f t="shared" si="24"/>
        <v>12.000000000000032</v>
      </c>
    </row>
    <row r="51" spans="1:15" x14ac:dyDescent="0.3">
      <c r="A51" t="s">
        <v>109</v>
      </c>
      <c r="B51" t="s">
        <v>33</v>
      </c>
      <c r="C51" s="8"/>
      <c r="D51" s="8"/>
      <c r="E51" s="8"/>
      <c r="F51" s="8"/>
      <c r="G51" s="8">
        <f t="shared" si="23"/>
        <v>17.350999999999985</v>
      </c>
      <c r="H51" s="8">
        <f t="shared" si="23"/>
        <v>15.456319999999991</v>
      </c>
      <c r="I51" s="8">
        <f t="shared" si="23"/>
        <v>14.898560000000005</v>
      </c>
      <c r="J51" s="8">
        <f t="shared" si="23"/>
        <v>15.360000000000017</v>
      </c>
      <c r="K51" s="8">
        <f t="shared" si="23"/>
        <v>16.167519999999989</v>
      </c>
      <c r="L51" s="8">
        <f t="shared" si="23"/>
        <v>15.360000000000017</v>
      </c>
      <c r="M51" s="8"/>
      <c r="N51" s="8">
        <f t="shared" si="24"/>
        <v>17.043202252114085</v>
      </c>
      <c r="O51" s="8">
        <f t="shared" si="24"/>
        <v>15.436977796128248</v>
      </c>
    </row>
    <row r="52" spans="1:15" x14ac:dyDescent="0.3">
      <c r="A52" t="s">
        <v>110</v>
      </c>
      <c r="B52" t="s">
        <v>33</v>
      </c>
      <c r="C52" s="8"/>
      <c r="D52" s="8"/>
      <c r="E52" s="8"/>
      <c r="F52" s="8"/>
      <c r="G52" s="8">
        <f t="shared" si="23"/>
        <v>4.3120000000000047</v>
      </c>
      <c r="H52" s="8">
        <f t="shared" si="23"/>
        <v>3.0859999999999665</v>
      </c>
      <c r="I52" s="8">
        <f t="shared" si="23"/>
        <v>2.5879999999999903</v>
      </c>
      <c r="J52" s="8">
        <f t="shared" si="23"/>
        <v>3.0000000000000027</v>
      </c>
      <c r="K52" s="8">
        <f t="shared" si="23"/>
        <v>3.7209999999999965</v>
      </c>
      <c r="L52" s="8">
        <f t="shared" si="23"/>
        <v>3.0000000000000249</v>
      </c>
      <c r="M52" s="8"/>
      <c r="N52" s="8">
        <f t="shared" si="24"/>
        <v>5.4981783382096028</v>
      </c>
      <c r="O52" s="8">
        <f t="shared" si="24"/>
        <v>3.0687301751144869</v>
      </c>
    </row>
    <row r="53" spans="1:15" x14ac:dyDescent="0.3">
      <c r="A53" t="s">
        <v>111</v>
      </c>
      <c r="B53" t="s">
        <v>33</v>
      </c>
      <c r="C53" s="8"/>
      <c r="D53" s="8"/>
      <c r="E53" s="8"/>
      <c r="F53" s="8"/>
      <c r="G53" s="8">
        <f t="shared" si="23"/>
        <v>19.222999999999992</v>
      </c>
      <c r="H53" s="8">
        <f t="shared" si="23"/>
        <v>14.760799999999996</v>
      </c>
      <c r="I53" s="8">
        <f t="shared" si="23"/>
        <v>16.504947999999999</v>
      </c>
      <c r="J53" s="8">
        <f t="shared" si="23"/>
        <v>16.739128800000014</v>
      </c>
      <c r="K53" s="8">
        <f t="shared" si="23"/>
        <v>16.973309600000007</v>
      </c>
      <c r="L53" s="8">
        <f t="shared" si="23"/>
        <v>17.558761599999983</v>
      </c>
      <c r="M53" s="8"/>
      <c r="N53" s="8">
        <f t="shared" si="24"/>
        <v>17.279935250388046</v>
      </c>
      <c r="O53" s="8">
        <f t="shared" si="24"/>
        <v>16.957097586828862</v>
      </c>
    </row>
    <row r="54" spans="1:15" x14ac:dyDescent="0.3">
      <c r="A54" t="s">
        <v>112</v>
      </c>
      <c r="B54" t="s">
        <v>33</v>
      </c>
      <c r="C54" s="8"/>
      <c r="D54" s="8"/>
      <c r="E54" s="8"/>
      <c r="F54" s="8"/>
      <c r="G54" s="8">
        <f t="shared" ref="G54:L54" si="25">(G31/C31-1)*100</f>
        <v>19.937117286689411</v>
      </c>
      <c r="H54" s="8">
        <f t="shared" si="25"/>
        <v>27.241264769526687</v>
      </c>
      <c r="I54" s="8">
        <f t="shared" si="25"/>
        <v>19.463239394819311</v>
      </c>
      <c r="J54" s="8">
        <f t="shared" si="25"/>
        <v>18.382823880247301</v>
      </c>
      <c r="K54" s="8">
        <f t="shared" si="25"/>
        <v>18.115753355243626</v>
      </c>
      <c r="L54" s="8">
        <f t="shared" si="25"/>
        <v>19.402858138229774</v>
      </c>
      <c r="M54" s="8"/>
      <c r="N54" s="8">
        <f>(N31/M31-1)*100</f>
        <v>21.946162826122407</v>
      </c>
      <c r="O54" s="8">
        <f>(O31/N31-1)*100</f>
        <v>18.559143414627989</v>
      </c>
    </row>
    <row r="55" spans="1:15" x14ac:dyDescent="0.3">
      <c r="A55" t="s">
        <v>113</v>
      </c>
      <c r="B55" t="s">
        <v>33</v>
      </c>
      <c r="C55" s="12"/>
      <c r="D55" s="12"/>
      <c r="E55" s="12"/>
      <c r="F55" s="12"/>
      <c r="G55" s="12">
        <f t="shared" ref="G55:L55" si="26">(G43/C43-1)*100</f>
        <v>33.140239098000322</v>
      </c>
      <c r="H55" s="12">
        <f t="shared" si="26"/>
        <v>68.834267616505016</v>
      </c>
      <c r="I55" s="12">
        <f t="shared" si="26"/>
        <v>52.691665723006878</v>
      </c>
      <c r="J55" s="12">
        <f t="shared" si="26"/>
        <v>10.678638155252894</v>
      </c>
      <c r="K55" s="12">
        <f t="shared" si="26"/>
        <v>22.186595108324081</v>
      </c>
      <c r="L55" s="12">
        <f t="shared" si="26"/>
        <v>26.008443530915759</v>
      </c>
      <c r="M55" s="12"/>
      <c r="N55" s="12">
        <f>(N43/M43-1)*100</f>
        <v>36.188868808009914</v>
      </c>
      <c r="O55" s="12">
        <f>(O43/N43-1)*100</f>
        <v>21.710549445781481</v>
      </c>
    </row>
    <row r="56" spans="1:15" x14ac:dyDescent="0.3">
      <c r="A56" t="s">
        <v>114</v>
      </c>
      <c r="B56" t="s">
        <v>47</v>
      </c>
      <c r="C56" s="8"/>
      <c r="D56" s="8"/>
      <c r="E56" s="8"/>
      <c r="F56" s="8"/>
      <c r="G56" s="8">
        <f t="shared" ref="G56:L57" si="27">G29-C29</f>
        <v>0.28535745201927298</v>
      </c>
      <c r="H56" s="8">
        <f t="shared" si="27"/>
        <v>-8.2034018426648814E-2</v>
      </c>
      <c r="I56" s="8">
        <f t="shared" si="27"/>
        <v>0.12827941773604046</v>
      </c>
      <c r="J56" s="8">
        <f t="shared" si="27"/>
        <v>0.15830601534113597</v>
      </c>
      <c r="K56" s="8">
        <f t="shared" si="27"/>
        <v>0.12606088732617593</v>
      </c>
      <c r="L56" s="8">
        <f t="shared" si="27"/>
        <v>0.25798878454996022</v>
      </c>
      <c r="M56" s="8"/>
      <c r="N56" s="8">
        <f>N29-M29</f>
        <v>2.7120443017023987E-2</v>
      </c>
      <c r="O56" s="8">
        <f>O29-N29</f>
        <v>0.17692718328794221</v>
      </c>
    </row>
    <row r="57" spans="1:15" x14ac:dyDescent="0.3">
      <c r="A57" t="s">
        <v>115</v>
      </c>
      <c r="B57" t="s">
        <v>47</v>
      </c>
      <c r="C57" s="8"/>
      <c r="D57" s="8"/>
      <c r="E57" s="8"/>
      <c r="F57" s="8"/>
      <c r="G57" s="8">
        <f t="shared" si="27"/>
        <v>0.29999999999999716</v>
      </c>
      <c r="H57" s="8">
        <f t="shared" si="27"/>
        <v>3.0769999999999982</v>
      </c>
      <c r="I57" s="8">
        <f t="shared" si="27"/>
        <v>0.49210000000000065</v>
      </c>
      <c r="J57" s="8">
        <f t="shared" si="27"/>
        <v>0.49210000000000065</v>
      </c>
      <c r="K57" s="8">
        <f t="shared" si="27"/>
        <v>0.49210000000000065</v>
      </c>
      <c r="L57" s="8">
        <f t="shared" si="27"/>
        <v>0.49210000000000065</v>
      </c>
      <c r="M57" s="8"/>
      <c r="N57" s="8">
        <f>N30-M30</f>
        <v>1.396659867687454</v>
      </c>
      <c r="O57" s="8">
        <f>O30-N30</f>
        <v>0.499966874009246</v>
      </c>
    </row>
    <row r="59" spans="1:15" x14ac:dyDescent="0.3">
      <c r="A59" t="s">
        <v>116</v>
      </c>
      <c r="C59" t="str">
        <f>IF(G28&lt;4690,"BELOW guide",IF(G28&gt;4770,"ABOVE guide top by "&amp;TEXT(G28/4770-1,"0.0%"),"within guide"))</f>
        <v>ABOVE guide top by 2.4%</v>
      </c>
    </row>
    <row r="60" spans="1:15" x14ac:dyDescent="0.3">
      <c r="A60" t="s">
        <v>117</v>
      </c>
      <c r="C60" t="str">
        <f>IF(N53&gt;=15,"met: "&amp;TEXT(N53,"0.0")&amp;"%","BELOW: "&amp;TEXT(N53,"0.0")&amp;"%")</f>
        <v>met: 17.3%</v>
      </c>
    </row>
    <row r="61" spans="1:15" x14ac:dyDescent="0.3">
      <c r="A61" t="s">
        <v>118</v>
      </c>
      <c r="C61" t="str">
        <f>IF(N30&gt;=35.5,"met: "&amp;TEXT(N30,"0.0")&amp;"%","BELOW: "&amp;TEXT(N30,"0.0")&amp;"%")</f>
        <v>met: 36.5%</v>
      </c>
    </row>
    <row r="62" spans="1:15" x14ac:dyDescent="0.3">
      <c r="A62" t="s">
        <v>119</v>
      </c>
      <c r="C62" t="str">
        <f>TEXT(N29-13.41,"+0.00;-0.00")&amp;" pts vs FY25"</f>
        <v>+0.03 pts vs FY25</v>
      </c>
    </row>
    <row r="63" spans="1:15" x14ac:dyDescent="0.3">
      <c r="A63" t="s">
        <v>120</v>
      </c>
      <c r="C63" t="str">
        <f>TEXT(G30-C30,"+0.0;-0.0")&amp;" pts y/y"</f>
        <v>+0.3 pts y/y</v>
      </c>
    </row>
    <row r="64" spans="1:15" x14ac:dyDescent="0.3">
      <c r="A64" t="s">
        <v>121</v>
      </c>
      <c r="C64" t="str">
        <f>IF(SUM(G45:J45)&gt;3400,"needs new authorisation: $"&amp;TEXT(SUM(G45:J45),"#,##0")&amp;"M planned vs $3,400M left","inside authorisation")</f>
        <v>needs new authorisation: $4,200M planned vs $3,400M left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8"/>
  <sheetViews>
    <sheetView workbookViewId="0"/>
  </sheetViews>
  <sheetFormatPr defaultRowHeight="14.4" x14ac:dyDescent="0.3"/>
  <cols>
    <col min="1" max="1" width="78" customWidth="1"/>
    <col min="2" max="5" width="22" customWidth="1"/>
    <col min="6" max="6" width="30" customWidth="1"/>
  </cols>
  <sheetData>
    <row r="1" spans="1:6" ht="17.399999999999999" customHeight="1" x14ac:dyDescent="0.35">
      <c r="A1" s="2" t="s">
        <v>126</v>
      </c>
    </row>
    <row r="2" spans="1:6" x14ac:dyDescent="0.3">
      <c r="A2" s="3" t="s">
        <v>127</v>
      </c>
    </row>
    <row r="4" spans="1:6" x14ac:dyDescent="0.3">
      <c r="A4" t="s">
        <v>128</v>
      </c>
      <c r="B4" s="15">
        <v>170.19</v>
      </c>
      <c r="C4" t="s">
        <v>129</v>
      </c>
    </row>
    <row r="5" spans="1:6" x14ac:dyDescent="0.3">
      <c r="A5" t="s">
        <v>130</v>
      </c>
      <c r="B5" s="15">
        <v>597</v>
      </c>
      <c r="C5" t="s">
        <v>131</v>
      </c>
    </row>
    <row r="6" spans="1:6" x14ac:dyDescent="0.3">
      <c r="A6" t="s">
        <v>132</v>
      </c>
      <c r="B6" s="15">
        <v>9593</v>
      </c>
      <c r="C6" t="s">
        <v>133</v>
      </c>
    </row>
    <row r="7" spans="1:6" x14ac:dyDescent="0.3">
      <c r="A7" t="s">
        <v>134</v>
      </c>
      <c r="B7">
        <f>B4*B5</f>
        <v>101603.43</v>
      </c>
    </row>
    <row r="8" spans="1:6" x14ac:dyDescent="0.3">
      <c r="A8" t="s">
        <v>135</v>
      </c>
      <c r="B8">
        <f>B7-B6</f>
        <v>92010.43</v>
      </c>
    </row>
    <row r="10" spans="1:6" x14ac:dyDescent="0.3">
      <c r="A10" s="7" t="s">
        <v>136</v>
      </c>
      <c r="B10" s="7" t="s">
        <v>137</v>
      </c>
      <c r="C10" s="7" t="s">
        <v>138</v>
      </c>
      <c r="D10" s="7" t="s">
        <v>139</v>
      </c>
      <c r="E10" s="7" t="s">
        <v>140</v>
      </c>
    </row>
    <row r="11" spans="1:6" x14ac:dyDescent="0.3">
      <c r="A11" t="s">
        <v>141</v>
      </c>
      <c r="B11">
        <f>Mgmt_Literal!O28</f>
        <v>15630.400806554127</v>
      </c>
      <c r="C11">
        <f>Mgmt_Delivered!O28</f>
        <v>16024.74004672316</v>
      </c>
      <c r="D11">
        <f>Mgmt_Ambition!O28</f>
        <v>16790.637970520489</v>
      </c>
      <c r="E11" s="16">
        <v>15745</v>
      </c>
      <c r="F11" s="3" t="s">
        <v>142</v>
      </c>
    </row>
    <row r="12" spans="1:6" x14ac:dyDescent="0.3">
      <c r="A12" t="s">
        <v>143</v>
      </c>
      <c r="B12">
        <f>Mgmt_Literal!O31</f>
        <v>5548.7972346394827</v>
      </c>
      <c r="C12">
        <f>Mgmt_Delivered!O31</f>
        <v>5800.9602752271003</v>
      </c>
      <c r="D12">
        <f>Mgmt_Ambition!O31</f>
        <v>6212.5306713850941</v>
      </c>
    </row>
    <row r="13" spans="1:6" x14ac:dyDescent="0.3">
      <c r="A13" t="s">
        <v>144</v>
      </c>
      <c r="B13">
        <f>Mgmt_Literal!O30</f>
        <v>35.500031658258983</v>
      </c>
      <c r="C13">
        <f>Mgmt_Delivered!O30</f>
        <v>36.200027322211177</v>
      </c>
      <c r="D13">
        <f>Mgmt_Ambition!O30</f>
        <v>36.99996797198834</v>
      </c>
    </row>
    <row r="14" spans="1:6" x14ac:dyDescent="0.3">
      <c r="A14" t="s">
        <v>145</v>
      </c>
      <c r="B14">
        <f>Mgmt_Literal!O43</f>
        <v>5.7231043089629372</v>
      </c>
      <c r="C14">
        <f>Mgmt_Delivered!O43</f>
        <v>6.0777900993851404</v>
      </c>
      <c r="D14">
        <f>Mgmt_Ambition!O43</f>
        <v>6.6808004767443157</v>
      </c>
      <c r="E14" s="16">
        <v>6.08</v>
      </c>
      <c r="F14" s="3" t="s">
        <v>146</v>
      </c>
    </row>
    <row r="15" spans="1:6" x14ac:dyDescent="0.3">
      <c r="A15" t="s">
        <v>147</v>
      </c>
      <c r="B15">
        <f>Mgmt_Literal!O44</f>
        <v>5738.1292039833006</v>
      </c>
      <c r="C15">
        <f>Mgmt_Delivered!O44</f>
        <v>5940.5782729147159</v>
      </c>
      <c r="D15">
        <f>Mgmt_Ambition!O44</f>
        <v>6346.6492238563224</v>
      </c>
    </row>
    <row r="16" spans="1:6" x14ac:dyDescent="0.3">
      <c r="A16" t="s">
        <v>148</v>
      </c>
      <c r="B16">
        <f>Mgmt_Literal!O32</f>
        <v>1935.7310000000002</v>
      </c>
      <c r="C16">
        <f>Mgmt_Delivered!O32</f>
        <v>1935.7310000000002</v>
      </c>
      <c r="D16">
        <f>Mgmt_Ambition!O32</f>
        <v>1917.972</v>
      </c>
    </row>
    <row r="17" spans="1:6" x14ac:dyDescent="0.3">
      <c r="A17" t="s">
        <v>149</v>
      </c>
      <c r="B17">
        <f>Mgmt_Literal!O47</f>
        <v>10298.181299105405</v>
      </c>
      <c r="C17">
        <f>Mgmt_Delivered!O47</f>
        <v>10608.669088650318</v>
      </c>
      <c r="D17">
        <f>Mgmt_Ambition!O47</f>
        <v>11082.762655503258</v>
      </c>
    </row>
    <row r="18" spans="1:6" x14ac:dyDescent="0.3">
      <c r="A18" t="s">
        <v>150</v>
      </c>
      <c r="B18">
        <f>Mgmt_Literal!L42</f>
        <v>570.66270908716194</v>
      </c>
      <c r="C18">
        <f>Mgmt_Delivered!L42</f>
        <v>570.66270908716194</v>
      </c>
      <c r="D18">
        <f>Mgmt_Ambition!L42</f>
        <v>570.66270908716194</v>
      </c>
    </row>
    <row r="19" spans="1:6" x14ac:dyDescent="0.3">
      <c r="A19" t="s">
        <v>151</v>
      </c>
      <c r="B19">
        <f>Mgmt_Literal!N28</f>
        <v>14077.15077000925</v>
      </c>
      <c r="C19">
        <f>Mgmt_Delivered!N28</f>
        <v>14231.301398802625</v>
      </c>
      <c r="D19">
        <f>Mgmt_Ambition!N28</f>
        <v>14356.236874</v>
      </c>
      <c r="E19" s="16">
        <v>14130</v>
      </c>
      <c r="F19" s="3" t="s">
        <v>152</v>
      </c>
    </row>
    <row r="20" spans="1:6" x14ac:dyDescent="0.3">
      <c r="A20" t="s">
        <v>153</v>
      </c>
      <c r="B20">
        <f>Mgmt_Literal!N31</f>
        <v>4997.3899216030086</v>
      </c>
      <c r="C20">
        <f>Mgmt_Delivered!N31</f>
        <v>5151.7309510508585</v>
      </c>
      <c r="D20">
        <f>Mgmt_Ambition!N31</f>
        <v>5240.0266166384799</v>
      </c>
    </row>
    <row r="21" spans="1:6" x14ac:dyDescent="0.3">
      <c r="A21" t="s">
        <v>154</v>
      </c>
      <c r="B21">
        <f>Mgmt_Literal!N43</f>
        <v>5.1579454453327021</v>
      </c>
      <c r="C21">
        <f>Mgmt_Delivered!N43</f>
        <v>5.3687946046465322</v>
      </c>
      <c r="D21">
        <f>Mgmt_Ambition!N43</f>
        <v>5.489089078281105</v>
      </c>
      <c r="E21" s="16">
        <v>5.2549999999999999</v>
      </c>
      <c r="F21" s="3" t="s">
        <v>155</v>
      </c>
    </row>
    <row r="23" spans="1:6" x14ac:dyDescent="0.3">
      <c r="A23" s="7" t="s">
        <v>156</v>
      </c>
    </row>
    <row r="24" spans="1:6" x14ac:dyDescent="0.3">
      <c r="A24" t="s">
        <v>157</v>
      </c>
      <c r="B24" s="8">
        <f>$B$8/B20</f>
        <v>18.411697194619922</v>
      </c>
      <c r="C24" s="8">
        <f>$B$8/C20</f>
        <v>17.860100007984997</v>
      </c>
      <c r="D24" s="8">
        <f>$B$8/D20</f>
        <v>17.559153174497698</v>
      </c>
    </row>
    <row r="25" spans="1:6" x14ac:dyDescent="0.3">
      <c r="A25" t="s">
        <v>158</v>
      </c>
      <c r="B25" s="8">
        <f>$B$8/B12</f>
        <v>16.582049426064152</v>
      </c>
      <c r="C25" s="8">
        <f>$B$8/C12</f>
        <v>15.861241179831714</v>
      </c>
      <c r="D25" s="8">
        <f>$B$8/D12</f>
        <v>14.8104588720664</v>
      </c>
    </row>
    <row r="26" spans="1:6" x14ac:dyDescent="0.3">
      <c r="A26" t="s">
        <v>159</v>
      </c>
      <c r="B26" s="8">
        <f>$B$4/B21</f>
        <v>32.995696019623615</v>
      </c>
      <c r="C26" s="8">
        <f>$B$4/C21</f>
        <v>31.699853045729409</v>
      </c>
      <c r="D26" s="8">
        <f>$B$4/D21</f>
        <v>31.005144491714933</v>
      </c>
      <c r="E26" s="8">
        <f>$B$4/E21</f>
        <v>32.386298763082777</v>
      </c>
    </row>
    <row r="27" spans="1:6" x14ac:dyDescent="0.3">
      <c r="A27" t="s">
        <v>160</v>
      </c>
      <c r="B27" s="8">
        <f>$B$4/B14</f>
        <v>29.737357701739931</v>
      </c>
      <c r="C27" s="8">
        <f>$B$4/C14</f>
        <v>28.001954199967727</v>
      </c>
      <c r="D27" s="8">
        <f>$B$4/D14</f>
        <v>25.474492254697136</v>
      </c>
      <c r="E27" s="8">
        <f>$B$4/E14</f>
        <v>27.991776315789473</v>
      </c>
    </row>
    <row r="28" spans="1:6" x14ac:dyDescent="0.3">
      <c r="A28" t="s">
        <v>161</v>
      </c>
      <c r="B28" s="8">
        <f>$B$8/B15</f>
        <v>16.034917780542148</v>
      </c>
      <c r="C28" s="8">
        <f>$B$8/C15</f>
        <v>15.488463542263121</v>
      </c>
      <c r="D28" s="8">
        <f>$B$8/D15</f>
        <v>14.497481545717605</v>
      </c>
    </row>
    <row r="29" spans="1:6" x14ac:dyDescent="0.3">
      <c r="A29" t="s">
        <v>162</v>
      </c>
      <c r="B29" s="8">
        <f>B15/$B$7*100</f>
        <v>5.6475743033313943</v>
      </c>
      <c r="C29" s="8">
        <f>C15/$B$7*100</f>
        <v>5.8468284711596024</v>
      </c>
      <c r="D29" s="8">
        <f>D15/$B$7*100</f>
        <v>6.2464911114283472</v>
      </c>
    </row>
    <row r="32" spans="1:6" x14ac:dyDescent="0.3">
      <c r="A32" s="7" t="s">
        <v>163</v>
      </c>
      <c r="B32" s="7" t="s">
        <v>164</v>
      </c>
      <c r="C32" s="7" t="s">
        <v>165</v>
      </c>
      <c r="D32" s="7" t="s">
        <v>166</v>
      </c>
      <c r="E32" s="7" t="s">
        <v>167</v>
      </c>
    </row>
    <row r="33" spans="1:6" x14ac:dyDescent="0.3">
      <c r="A33" t="s">
        <v>168</v>
      </c>
      <c r="B33" s="15">
        <v>13.5</v>
      </c>
      <c r="C33" s="15">
        <v>16.5</v>
      </c>
      <c r="D33" s="15">
        <v>18.5</v>
      </c>
      <c r="E33" s="3" t="s">
        <v>169</v>
      </c>
    </row>
    <row r="34" spans="1:6" x14ac:dyDescent="0.3">
      <c r="A34" t="s">
        <v>170</v>
      </c>
      <c r="B34" s="15">
        <v>22</v>
      </c>
      <c r="C34" s="15">
        <v>27</v>
      </c>
      <c r="D34" s="15">
        <v>30</v>
      </c>
      <c r="E34" s="3" t="s">
        <v>171</v>
      </c>
    </row>
    <row r="35" spans="1:6" x14ac:dyDescent="0.3">
      <c r="A35" t="s">
        <v>172</v>
      </c>
      <c r="B35" s="15">
        <v>14</v>
      </c>
      <c r="C35" s="15">
        <v>17</v>
      </c>
      <c r="D35" s="15">
        <v>20</v>
      </c>
      <c r="E35" s="3" t="s">
        <v>173</v>
      </c>
    </row>
    <row r="38" spans="1:6" x14ac:dyDescent="0.3">
      <c r="A38" s="7" t="s">
        <v>174</v>
      </c>
      <c r="B38" s="7" t="s">
        <v>137</v>
      </c>
      <c r="C38" s="7" t="s">
        <v>138</v>
      </c>
      <c r="D38" s="7" t="s">
        <v>139</v>
      </c>
      <c r="E38" s="7" t="s">
        <v>175</v>
      </c>
      <c r="F38" s="7" t="s">
        <v>176</v>
      </c>
    </row>
    <row r="39" spans="1:6" x14ac:dyDescent="0.3">
      <c r="A39" t="s">
        <v>177</v>
      </c>
      <c r="B39" s="17">
        <f>($B$33*B12+B17)/B18</f>
        <v>149.31226906877504</v>
      </c>
      <c r="C39" s="17">
        <f>($B$33*C12+C17)/C18</f>
        <v>155.82169885685391</v>
      </c>
      <c r="D39" s="17">
        <f>($B$33*D12+D17)/D18</f>
        <v>166.38887596333066</v>
      </c>
      <c r="F39" s="18">
        <f t="shared" ref="F39:F49" si="0">C39/$B$4-1</f>
        <v>-8.4425061067901042E-2</v>
      </c>
    </row>
    <row r="40" spans="1:6" x14ac:dyDescent="0.3">
      <c r="A40" t="s">
        <v>178</v>
      </c>
      <c r="B40" s="17">
        <f>($C$33*B12+B17)/B18</f>
        <v>178.48255028540859</v>
      </c>
      <c r="C40" s="17">
        <f>($C$33*C12+C17)/C18</f>
        <v>186.31761272779727</v>
      </c>
      <c r="D40" s="17">
        <f>($C$33*D12+D17)/D18</f>
        <v>199.04843425822637</v>
      </c>
      <c r="F40" s="18">
        <f t="shared" si="0"/>
        <v>9.4762399246708151E-2</v>
      </c>
    </row>
    <row r="41" spans="1:6" x14ac:dyDescent="0.3">
      <c r="A41" t="s">
        <v>179</v>
      </c>
      <c r="B41" s="17">
        <f>($D$33*B12+B17)/B18</f>
        <v>197.92940442983095</v>
      </c>
      <c r="C41" s="17">
        <f>($D$33*C12+C17)/C18</f>
        <v>206.64822197509284</v>
      </c>
      <c r="D41" s="17">
        <f>($D$33*D12+D17)/D18</f>
        <v>220.82147312149019</v>
      </c>
      <c r="F41" s="18">
        <f t="shared" si="0"/>
        <v>0.2142207061231145</v>
      </c>
    </row>
    <row r="42" spans="1:6" x14ac:dyDescent="0.3">
      <c r="A42" t="s">
        <v>180</v>
      </c>
      <c r="B42" s="17">
        <f>$B$34*B14</f>
        <v>125.90829479718462</v>
      </c>
      <c r="C42" s="17">
        <f>$B$34*C14</f>
        <v>133.71138218647309</v>
      </c>
      <c r="D42" s="17">
        <f>$B$34*D14</f>
        <v>146.97761048837495</v>
      </c>
      <c r="E42" s="17">
        <f>$B$34*E14</f>
        <v>133.76</v>
      </c>
      <c r="F42" s="18">
        <f t="shared" si="0"/>
        <v>-0.21434054770272581</v>
      </c>
    </row>
    <row r="43" spans="1:6" x14ac:dyDescent="0.3">
      <c r="A43" t="s">
        <v>181</v>
      </c>
      <c r="B43" s="17">
        <f>$C$34*B14</f>
        <v>154.52381634199929</v>
      </c>
      <c r="C43" s="17">
        <f>$C$34*C14</f>
        <v>164.10033268339879</v>
      </c>
      <c r="D43" s="17">
        <f>$C$34*D14</f>
        <v>180.38161287209653</v>
      </c>
      <c r="E43" s="17">
        <f>$C$34*E14</f>
        <v>164.16</v>
      </c>
      <c r="F43" s="18">
        <f t="shared" si="0"/>
        <v>-3.5781581271527196E-2</v>
      </c>
    </row>
    <row r="44" spans="1:6" x14ac:dyDescent="0.3">
      <c r="A44" t="s">
        <v>182</v>
      </c>
      <c r="B44" s="17">
        <f>$D$34*B14</f>
        <v>171.69312926888813</v>
      </c>
      <c r="C44" s="17">
        <f>$D$34*C14</f>
        <v>182.33370298155421</v>
      </c>
      <c r="D44" s="17">
        <f>$D$34*D14</f>
        <v>200.42401430232948</v>
      </c>
      <c r="E44" s="17">
        <f>$D$34*E14</f>
        <v>182.4</v>
      </c>
      <c r="F44" s="18">
        <f t="shared" si="0"/>
        <v>7.135379858719193E-2</v>
      </c>
    </row>
    <row r="45" spans="1:6" x14ac:dyDescent="0.3">
      <c r="A45" t="s">
        <v>183</v>
      </c>
      <c r="B45" s="17">
        <f>($B$35*B15+B17)/B18</f>
        <v>158.8188411677495</v>
      </c>
      <c r="C45" s="17">
        <f>($B$35*C15+C17)/C18</f>
        <v>164.32958280989243</v>
      </c>
      <c r="D45" s="17">
        <f>($B$35*D15+D17)/D18</f>
        <v>175.12245008851238</v>
      </c>
      <c r="F45" s="18">
        <f t="shared" si="0"/>
        <v>-3.4434556613829104E-2</v>
      </c>
    </row>
    <row r="46" spans="1:6" x14ac:dyDescent="0.3">
      <c r="A46" t="s">
        <v>184</v>
      </c>
      <c r="B46" s="17">
        <f>($C$35*B15+B17)/B18</f>
        <v>188.9844492192835</v>
      </c>
      <c r="C46" s="17">
        <f>($C$35*C15+C17)/C18</f>
        <v>195.55947488966754</v>
      </c>
      <c r="D46" s="17">
        <f>($C$35*D15+D17)/D18</f>
        <v>208.48707575684361</v>
      </c>
      <c r="F46" s="18">
        <f t="shared" si="0"/>
        <v>0.14906560250113143</v>
      </c>
    </row>
    <row r="47" spans="1:6" x14ac:dyDescent="0.3">
      <c r="A47" t="s">
        <v>185</v>
      </c>
      <c r="B47" s="17">
        <f>($D$35*B15+B17)/B18</f>
        <v>219.15005727081751</v>
      </c>
      <c r="C47" s="17">
        <f>($D$35*C15+C17)/C18</f>
        <v>226.78936696944263</v>
      </c>
      <c r="D47" s="17">
        <f>($D$35*D15+D17)/D18</f>
        <v>241.85170142517487</v>
      </c>
      <c r="F47" s="18">
        <f t="shared" si="0"/>
        <v>0.33256576161609153</v>
      </c>
    </row>
    <row r="48" spans="1:6" x14ac:dyDescent="0.3">
      <c r="A48" s="7" t="s">
        <v>186</v>
      </c>
      <c r="B48" s="17">
        <f>AVERAGE(B40,B43,B46)</f>
        <v>173.99693861556378</v>
      </c>
      <c r="C48" s="17">
        <f>AVERAGE(C40,C43,C46)</f>
        <v>181.9924734336212</v>
      </c>
      <c r="D48" s="17">
        <f>AVERAGE(D40,D43,D46)</f>
        <v>195.97237429572218</v>
      </c>
      <c r="F48" s="18">
        <f t="shared" si="0"/>
        <v>6.9348806825437537E-2</v>
      </c>
    </row>
    <row r="49" spans="1:6" x14ac:dyDescent="0.3">
      <c r="A49" s="7" t="s">
        <v>187</v>
      </c>
      <c r="B49" s="17">
        <f>AVERAGE(B39:B47)</f>
        <v>171.64475687221525</v>
      </c>
      <c r="C49" s="17">
        <f>AVERAGE(C39:C47)</f>
        <v>179.51237512001919</v>
      </c>
      <c r="D49" s="17">
        <f>AVERAGE(D39:D47)</f>
        <v>193.27813869737543</v>
      </c>
      <c r="F49" s="18">
        <f t="shared" si="0"/>
        <v>5.4776280157583734E-2</v>
      </c>
    </row>
    <row r="51" spans="1:6" x14ac:dyDescent="0.3">
      <c r="A51" s="7" t="s">
        <v>188</v>
      </c>
    </row>
    <row r="52" spans="1:6" x14ac:dyDescent="0.3">
      <c r="A52" s="7"/>
      <c r="B52" s="7" t="s">
        <v>137</v>
      </c>
      <c r="C52" s="7" t="s">
        <v>138</v>
      </c>
      <c r="D52" s="7" t="s">
        <v>139</v>
      </c>
    </row>
    <row r="53" spans="1:6" x14ac:dyDescent="0.3">
      <c r="A53" t="s">
        <v>189</v>
      </c>
      <c r="B53" s="10">
        <v>5738.1239999999998</v>
      </c>
      <c r="C53" s="10">
        <v>5940.5730000000003</v>
      </c>
      <c r="D53" s="10">
        <v>6346.6559999999999</v>
      </c>
    </row>
    <row r="54" spans="1:6" x14ac:dyDescent="0.3">
      <c r="A54" t="s">
        <v>190</v>
      </c>
      <c r="B54" s="8">
        <v>10.154</v>
      </c>
      <c r="C54" s="8">
        <v>11.723000000000001</v>
      </c>
      <c r="D54" s="8">
        <v>17.989000000000001</v>
      </c>
    </row>
    <row r="55" spans="1:6" x14ac:dyDescent="0.3">
      <c r="A55" t="s">
        <v>191</v>
      </c>
      <c r="B55" s="17">
        <v>196.839</v>
      </c>
      <c r="C55" s="17">
        <v>213.703</v>
      </c>
      <c r="D55" s="17">
        <v>277.95499999999998</v>
      </c>
    </row>
    <row r="56" spans="1:6" x14ac:dyDescent="0.3">
      <c r="A56" t="s">
        <v>192</v>
      </c>
      <c r="B56" s="8">
        <v>5.5979999999999999</v>
      </c>
      <c r="C56" s="8">
        <v>4.6139999999999999</v>
      </c>
      <c r="D56" s="8">
        <v>2.742</v>
      </c>
    </row>
    <row r="57" spans="1:6" x14ac:dyDescent="0.3">
      <c r="A57" t="s">
        <v>193</v>
      </c>
      <c r="B57" s="10">
        <v>3802.393</v>
      </c>
      <c r="C57" s="10">
        <v>4004.8420000000001</v>
      </c>
      <c r="D57" s="10">
        <v>4428.6840000000002</v>
      </c>
    </row>
    <row r="58" spans="1:6" x14ac:dyDescent="0.3">
      <c r="A58" t="s">
        <v>194</v>
      </c>
      <c r="B58" s="8">
        <v>17.465</v>
      </c>
      <c r="C58" s="8">
        <v>15.948</v>
      </c>
      <c r="D58" s="8">
        <v>13.023999999999999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4"/>
  <sheetViews>
    <sheetView workbookViewId="0"/>
  </sheetViews>
  <sheetFormatPr defaultRowHeight="14.4" x14ac:dyDescent="0.3"/>
  <cols>
    <col min="1" max="1" width="30" customWidth="1"/>
    <col min="2" max="2" width="12" customWidth="1"/>
    <col min="3" max="3" width="110" customWidth="1"/>
  </cols>
  <sheetData>
    <row r="1" spans="1:3" ht="17.399999999999999" customHeight="1" x14ac:dyDescent="0.35">
      <c r="A1" s="2" t="s">
        <v>195</v>
      </c>
    </row>
    <row r="3" spans="1:3" x14ac:dyDescent="0.3">
      <c r="A3" s="4" t="s">
        <v>196</v>
      </c>
      <c r="B3" s="4" t="s">
        <v>197</v>
      </c>
      <c r="C3" s="4" t="s">
        <v>198</v>
      </c>
    </row>
    <row r="4" spans="1:3" x14ac:dyDescent="0.3">
      <c r="A4" t="s">
        <v>199</v>
      </c>
      <c r="B4" s="16">
        <v>4743.7</v>
      </c>
      <c r="C4" s="3" t="s">
        <v>200</v>
      </c>
    </row>
    <row r="5" spans="1:3" x14ac:dyDescent="0.3">
      <c r="A5" t="s">
        <v>201</v>
      </c>
      <c r="B5" s="16">
        <v>148.91</v>
      </c>
      <c r="C5" s="3" t="s">
        <v>202</v>
      </c>
    </row>
    <row r="6" spans="1:3" x14ac:dyDescent="0.3">
      <c r="A6" t="s">
        <v>203</v>
      </c>
      <c r="B6" s="16">
        <v>26352.9</v>
      </c>
      <c r="C6" s="3" t="s">
        <v>204</v>
      </c>
    </row>
    <row r="7" spans="1:3" x14ac:dyDescent="0.3">
      <c r="A7" t="s">
        <v>205</v>
      </c>
      <c r="B7" s="16">
        <v>177.02</v>
      </c>
      <c r="C7" s="3" t="s">
        <v>206</v>
      </c>
    </row>
    <row r="8" spans="1:3" x14ac:dyDescent="0.3">
      <c r="A8" t="s">
        <v>207</v>
      </c>
      <c r="B8" s="16">
        <v>18</v>
      </c>
      <c r="C8" s="3" t="s">
        <v>90</v>
      </c>
    </row>
    <row r="9" spans="1:3" x14ac:dyDescent="0.3">
      <c r="A9" t="s">
        <v>208</v>
      </c>
      <c r="B9" s="16">
        <v>2359.9</v>
      </c>
      <c r="C9" s="3" t="s">
        <v>209</v>
      </c>
    </row>
    <row r="10" spans="1:3" x14ac:dyDescent="0.3">
      <c r="A10" t="s">
        <v>210</v>
      </c>
      <c r="B10" s="16">
        <v>1969.9</v>
      </c>
      <c r="C10" s="3" t="s">
        <v>90</v>
      </c>
    </row>
    <row r="11" spans="1:3" x14ac:dyDescent="0.3">
      <c r="A11" t="s">
        <v>211</v>
      </c>
      <c r="B11" s="16">
        <v>2.88</v>
      </c>
      <c r="C11" s="3" t="s">
        <v>212</v>
      </c>
    </row>
    <row r="12" spans="1:3" x14ac:dyDescent="0.3">
      <c r="A12" t="s">
        <v>213</v>
      </c>
      <c r="B12" s="16">
        <v>3154</v>
      </c>
      <c r="C12" s="3" t="s">
        <v>214</v>
      </c>
    </row>
    <row r="13" spans="1:3" x14ac:dyDescent="0.3">
      <c r="A13" t="s">
        <v>215</v>
      </c>
      <c r="B13" s="16">
        <v>134.19</v>
      </c>
      <c r="C13" s="3" t="s">
        <v>216</v>
      </c>
    </row>
    <row r="14" spans="1:3" x14ac:dyDescent="0.3">
      <c r="A14" t="s">
        <v>217</v>
      </c>
      <c r="B14" s="16">
        <v>22992.9</v>
      </c>
      <c r="C14" s="3" t="s">
        <v>218</v>
      </c>
    </row>
    <row r="15" spans="1:3" x14ac:dyDescent="0.3">
      <c r="A15" t="s">
        <v>219</v>
      </c>
      <c r="B15" s="16">
        <v>171.29</v>
      </c>
      <c r="C15" s="3" t="s">
        <v>220</v>
      </c>
    </row>
    <row r="16" spans="1:3" x14ac:dyDescent="0.3">
      <c r="A16" t="s">
        <v>221</v>
      </c>
      <c r="B16" s="16">
        <v>915.2</v>
      </c>
      <c r="C16" s="3" t="s">
        <v>222</v>
      </c>
    </row>
    <row r="17" spans="1:3" x14ac:dyDescent="0.3">
      <c r="A17" t="s">
        <v>223</v>
      </c>
      <c r="B17" s="16">
        <v>0.85</v>
      </c>
      <c r="C17" s="3" t="s">
        <v>224</v>
      </c>
    </row>
    <row r="18" spans="1:3" x14ac:dyDescent="0.3">
      <c r="A18" t="s">
        <v>151</v>
      </c>
      <c r="B18" s="16">
        <v>14130</v>
      </c>
      <c r="C18" s="3" t="s">
        <v>225</v>
      </c>
    </row>
    <row r="19" spans="1:3" x14ac:dyDescent="0.3">
      <c r="A19" t="s">
        <v>226</v>
      </c>
      <c r="B19" s="16">
        <v>5.2549999999999999</v>
      </c>
      <c r="C19" s="3" t="s">
        <v>227</v>
      </c>
    </row>
    <row r="20" spans="1:3" x14ac:dyDescent="0.3">
      <c r="A20" t="s">
        <v>228</v>
      </c>
      <c r="B20" s="16">
        <v>5350</v>
      </c>
      <c r="C20" s="3" t="s">
        <v>229</v>
      </c>
    </row>
    <row r="21" spans="1:3" x14ac:dyDescent="0.3">
      <c r="A21" t="s">
        <v>230</v>
      </c>
      <c r="B21" s="16">
        <v>15745</v>
      </c>
      <c r="C21" s="3" t="s">
        <v>231</v>
      </c>
    </row>
    <row r="22" spans="1:3" x14ac:dyDescent="0.3">
      <c r="A22" t="s">
        <v>232</v>
      </c>
      <c r="B22" s="16">
        <v>6.08</v>
      </c>
      <c r="C22" s="3" t="s">
        <v>233</v>
      </c>
    </row>
    <row r="23" spans="1:3" x14ac:dyDescent="0.3">
      <c r="A23" t="s">
        <v>234</v>
      </c>
      <c r="B23" s="16">
        <v>178.96</v>
      </c>
      <c r="C23" s="3" t="s">
        <v>235</v>
      </c>
    </row>
    <row r="24" spans="1:3" x14ac:dyDescent="0.3">
      <c r="A24" t="s">
        <v>236</v>
      </c>
      <c r="B24" s="16">
        <v>170.19</v>
      </c>
      <c r="C24" s="3" t="s">
        <v>237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9"/>
  <sheetViews>
    <sheetView workbookViewId="0"/>
  </sheetViews>
  <sheetFormatPr defaultRowHeight="14.4" x14ac:dyDescent="0.3"/>
  <cols>
    <col min="1" max="1" width="24" customWidth="1"/>
    <col min="2" max="2" width="70" customWidth="1"/>
    <col min="3" max="3" width="60" customWidth="1"/>
    <col min="4" max="4" width="34" customWidth="1"/>
    <col min="5" max="5" width="40" customWidth="1"/>
    <col min="6" max="6" width="34" customWidth="1"/>
  </cols>
  <sheetData>
    <row r="1" spans="1:6" ht="17.399999999999999" customHeight="1" x14ac:dyDescent="0.35">
      <c r="A1" s="2" t="s">
        <v>238</v>
      </c>
    </row>
    <row r="3" spans="1:6" x14ac:dyDescent="0.3">
      <c r="A3" s="4" t="s">
        <v>239</v>
      </c>
      <c r="B3" s="4" t="s">
        <v>240</v>
      </c>
      <c r="C3" s="4" t="s">
        <v>241</v>
      </c>
      <c r="D3" s="4" t="s">
        <v>242</v>
      </c>
      <c r="E3" s="4" t="s">
        <v>243</v>
      </c>
      <c r="F3" s="4" t="s">
        <v>198</v>
      </c>
    </row>
    <row r="4" spans="1:6" ht="43.2" customHeight="1" x14ac:dyDescent="0.3">
      <c r="A4" s="19" t="s">
        <v>74</v>
      </c>
      <c r="B4" s="19" t="s">
        <v>244</v>
      </c>
      <c r="C4" s="19" t="s">
        <v>245</v>
      </c>
      <c r="D4" s="19" t="s">
        <v>246</v>
      </c>
      <c r="E4" s="19" t="s">
        <v>247</v>
      </c>
      <c r="F4" s="19" t="s">
        <v>248</v>
      </c>
    </row>
    <row r="5" spans="1:6" ht="57.6" customHeight="1" x14ac:dyDescent="0.3">
      <c r="A5" s="19" t="s">
        <v>249</v>
      </c>
      <c r="B5" s="19" t="s">
        <v>250</v>
      </c>
      <c r="C5" s="19" t="s">
        <v>251</v>
      </c>
      <c r="D5" s="19" t="s">
        <v>252</v>
      </c>
      <c r="E5" s="19" t="s">
        <v>253</v>
      </c>
      <c r="F5" s="19" t="s">
        <v>254</v>
      </c>
    </row>
    <row r="6" spans="1:6" ht="28.8" customHeight="1" x14ac:dyDescent="0.3">
      <c r="A6" s="19" t="s">
        <v>255</v>
      </c>
      <c r="B6" s="19" t="s">
        <v>256</v>
      </c>
      <c r="C6" s="19" t="s">
        <v>257</v>
      </c>
      <c r="D6" s="19" t="s">
        <v>258</v>
      </c>
      <c r="E6" s="19" t="s">
        <v>259</v>
      </c>
      <c r="F6" s="19" t="s">
        <v>260</v>
      </c>
    </row>
    <row r="7" spans="1:6" ht="57.6" customHeight="1" x14ac:dyDescent="0.3">
      <c r="A7" s="19" t="s">
        <v>261</v>
      </c>
      <c r="B7" s="19" t="s">
        <v>262</v>
      </c>
      <c r="C7" s="19" t="s">
        <v>263</v>
      </c>
      <c r="D7" s="19" t="s">
        <v>264</v>
      </c>
      <c r="E7" s="19" t="s">
        <v>265</v>
      </c>
      <c r="F7" s="19" t="s">
        <v>266</v>
      </c>
    </row>
    <row r="8" spans="1:6" ht="57.6" customHeight="1" x14ac:dyDescent="0.3">
      <c r="A8" s="19" t="s">
        <v>267</v>
      </c>
      <c r="B8" s="19" t="s">
        <v>268</v>
      </c>
      <c r="C8" s="19" t="s">
        <v>269</v>
      </c>
      <c r="D8" s="19" t="s">
        <v>270</v>
      </c>
      <c r="E8" s="19" t="s">
        <v>271</v>
      </c>
      <c r="F8" s="19" t="s">
        <v>272</v>
      </c>
    </row>
    <row r="9" spans="1:6" ht="43.2" customHeight="1" x14ac:dyDescent="0.3">
      <c r="A9" s="19" t="s">
        <v>80</v>
      </c>
      <c r="B9" s="19" t="s">
        <v>273</v>
      </c>
      <c r="C9" s="19" t="s">
        <v>274</v>
      </c>
      <c r="D9" s="19" t="s">
        <v>275</v>
      </c>
      <c r="E9" s="19" t="s">
        <v>276</v>
      </c>
      <c r="F9" s="19" t="s">
        <v>277</v>
      </c>
    </row>
    <row r="10" spans="1:6" ht="28.8" customHeight="1" x14ac:dyDescent="0.3">
      <c r="A10" s="19" t="s">
        <v>278</v>
      </c>
      <c r="B10" s="19" t="s">
        <v>279</v>
      </c>
      <c r="C10" s="19" t="s">
        <v>280</v>
      </c>
      <c r="D10" s="19" t="s">
        <v>281</v>
      </c>
      <c r="E10" s="19" t="s">
        <v>282</v>
      </c>
      <c r="F10" s="19" t="s">
        <v>283</v>
      </c>
    </row>
    <row r="11" spans="1:6" ht="57.6" customHeight="1" x14ac:dyDescent="0.3">
      <c r="A11" s="19" t="s">
        <v>83</v>
      </c>
      <c r="B11" s="19" t="s">
        <v>284</v>
      </c>
      <c r="C11" s="19" t="s">
        <v>285</v>
      </c>
      <c r="D11" s="19" t="s">
        <v>286</v>
      </c>
      <c r="E11" s="19" t="s">
        <v>287</v>
      </c>
      <c r="F11" s="19" t="s">
        <v>288</v>
      </c>
    </row>
    <row r="12" spans="1:6" ht="57.6" customHeight="1" x14ac:dyDescent="0.3">
      <c r="A12" s="19" t="s">
        <v>289</v>
      </c>
      <c r="B12" s="19" t="s">
        <v>290</v>
      </c>
      <c r="C12" s="19" t="s">
        <v>291</v>
      </c>
      <c r="D12" s="19" t="s">
        <v>292</v>
      </c>
      <c r="E12" s="19" t="s">
        <v>293</v>
      </c>
      <c r="F12" s="19" t="s">
        <v>294</v>
      </c>
    </row>
    <row r="13" spans="1:6" ht="28.8" customHeight="1" x14ac:dyDescent="0.3">
      <c r="A13" s="19" t="s">
        <v>295</v>
      </c>
      <c r="B13" s="19" t="s">
        <v>296</v>
      </c>
      <c r="C13" s="19" t="s">
        <v>297</v>
      </c>
      <c r="D13" s="19" t="s">
        <v>298</v>
      </c>
      <c r="E13" s="19" t="s">
        <v>299</v>
      </c>
      <c r="F13" s="19" t="s">
        <v>300</v>
      </c>
    </row>
    <row r="14" spans="1:6" ht="28.8" customHeight="1" x14ac:dyDescent="0.3">
      <c r="A14" s="19" t="s">
        <v>301</v>
      </c>
      <c r="B14" s="19" t="s">
        <v>302</v>
      </c>
      <c r="C14" s="19" t="s">
        <v>303</v>
      </c>
      <c r="D14" s="19" t="s">
        <v>304</v>
      </c>
      <c r="E14" s="19" t="s">
        <v>305</v>
      </c>
      <c r="F14" s="19" t="s">
        <v>306</v>
      </c>
    </row>
    <row r="15" spans="1:6" ht="28.8" customHeight="1" x14ac:dyDescent="0.3">
      <c r="A15" s="19" t="s">
        <v>307</v>
      </c>
      <c r="B15" s="19" t="s">
        <v>308</v>
      </c>
      <c r="C15" s="19" t="s">
        <v>309</v>
      </c>
      <c r="D15" s="19" t="s">
        <v>310</v>
      </c>
      <c r="E15" s="19" t="s">
        <v>311</v>
      </c>
      <c r="F15" s="19" t="s">
        <v>312</v>
      </c>
    </row>
    <row r="16" spans="1:6" ht="43.2" customHeight="1" x14ac:dyDescent="0.3">
      <c r="A16" s="19" t="s">
        <v>313</v>
      </c>
      <c r="B16" s="19" t="s">
        <v>314</v>
      </c>
      <c r="C16" s="19" t="s">
        <v>315</v>
      </c>
      <c r="D16" s="19" t="s">
        <v>316</v>
      </c>
      <c r="E16" s="19" t="s">
        <v>317</v>
      </c>
      <c r="F16" s="19" t="s">
        <v>318</v>
      </c>
    </row>
    <row r="17" spans="1:6" ht="57.6" customHeight="1" x14ac:dyDescent="0.3">
      <c r="A17" s="19" t="s">
        <v>319</v>
      </c>
      <c r="B17" s="19" t="s">
        <v>320</v>
      </c>
      <c r="C17" s="19" t="s">
        <v>321</v>
      </c>
      <c r="D17" s="19" t="s">
        <v>322</v>
      </c>
      <c r="E17" s="19" t="s">
        <v>323</v>
      </c>
      <c r="F17" s="19" t="s">
        <v>318</v>
      </c>
    </row>
    <row r="18" spans="1:6" ht="57.6" customHeight="1" x14ac:dyDescent="0.3">
      <c r="A18" s="19" t="s">
        <v>324</v>
      </c>
      <c r="B18" s="19" t="s">
        <v>325</v>
      </c>
      <c r="C18" s="19" t="s">
        <v>326</v>
      </c>
      <c r="D18" s="19" t="s">
        <v>327</v>
      </c>
      <c r="E18" s="19" t="s">
        <v>328</v>
      </c>
      <c r="F18" s="19" t="s">
        <v>329</v>
      </c>
    </row>
    <row r="19" spans="1:6" ht="28.8" customHeight="1" x14ac:dyDescent="0.3">
      <c r="A19" s="19" t="s">
        <v>330</v>
      </c>
      <c r="B19" s="19" t="s">
        <v>331</v>
      </c>
      <c r="C19" s="19" t="s">
        <v>332</v>
      </c>
      <c r="D19" s="19" t="s">
        <v>333</v>
      </c>
      <c r="E19" s="19" t="s">
        <v>334</v>
      </c>
      <c r="F19" s="19" t="s">
        <v>335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11"/>
  <sheetViews>
    <sheetView workbookViewId="0"/>
  </sheetViews>
  <sheetFormatPr defaultRowHeight="14.4" x14ac:dyDescent="0.3"/>
  <sheetData>
    <row r="1" spans="1:6" x14ac:dyDescent="0.3">
      <c r="A1" t="s">
        <v>336</v>
      </c>
      <c r="B1">
        <v>6.7673113671844476E-3</v>
      </c>
    </row>
    <row r="3" spans="1:6" x14ac:dyDescent="0.3">
      <c r="A3" s="20" t="s">
        <v>337</v>
      </c>
      <c r="B3" s="20" t="s">
        <v>338</v>
      </c>
      <c r="C3" s="20" t="s">
        <v>339</v>
      </c>
      <c r="D3" s="20" t="s">
        <v>340</v>
      </c>
      <c r="E3" s="20" t="s">
        <v>341</v>
      </c>
      <c r="F3" s="20" t="s">
        <v>342</v>
      </c>
    </row>
    <row r="4" spans="1:6" x14ac:dyDescent="0.3">
      <c r="A4" t="s">
        <v>343</v>
      </c>
      <c r="B4" t="s">
        <v>344</v>
      </c>
      <c r="C4" t="s">
        <v>345</v>
      </c>
      <c r="D4">
        <v>146.96</v>
      </c>
      <c r="E4">
        <v>146.96</v>
      </c>
      <c r="F4">
        <v>0</v>
      </c>
    </row>
    <row r="5" spans="1:6" x14ac:dyDescent="0.3">
      <c r="A5" t="s">
        <v>343</v>
      </c>
      <c r="B5" t="s">
        <v>344</v>
      </c>
      <c r="C5" t="s">
        <v>346</v>
      </c>
      <c r="D5">
        <v>26014.445908000002</v>
      </c>
      <c r="E5">
        <v>26014.445908000002</v>
      </c>
      <c r="F5">
        <v>0</v>
      </c>
    </row>
    <row r="6" spans="1:6" x14ac:dyDescent="0.3">
      <c r="A6" t="s">
        <v>343</v>
      </c>
      <c r="B6" t="s">
        <v>344</v>
      </c>
      <c r="C6" t="s">
        <v>347</v>
      </c>
      <c r="D6">
        <v>177.01718772455089</v>
      </c>
      <c r="E6">
        <v>177.01718772455089</v>
      </c>
      <c r="F6">
        <v>0</v>
      </c>
    </row>
    <row r="7" spans="1:6" x14ac:dyDescent="0.3">
      <c r="A7" t="s">
        <v>343</v>
      </c>
      <c r="B7" t="s">
        <v>344</v>
      </c>
      <c r="C7" t="s">
        <v>348</v>
      </c>
      <c r="D7">
        <v>4730.0011708949996</v>
      </c>
      <c r="E7">
        <v>4730</v>
      </c>
      <c r="F7">
        <v>1.170894999631855E-3</v>
      </c>
    </row>
    <row r="8" spans="1:6" x14ac:dyDescent="0.3">
      <c r="A8" t="s">
        <v>343</v>
      </c>
      <c r="B8" t="s">
        <v>344</v>
      </c>
      <c r="C8" t="s">
        <v>349</v>
      </c>
      <c r="D8">
        <v>18.18220994451557</v>
      </c>
      <c r="E8">
        <v>18.182205443574041</v>
      </c>
      <c r="F8">
        <v>4.5009415288177479E-6</v>
      </c>
    </row>
    <row r="9" spans="1:6" x14ac:dyDescent="0.3">
      <c r="A9" t="s">
        <v>343</v>
      </c>
      <c r="B9" t="s">
        <v>344</v>
      </c>
      <c r="C9" t="s">
        <v>350</v>
      </c>
      <c r="D9">
        <v>49.485470085470077</v>
      </c>
      <c r="E9">
        <v>49.485470085470077</v>
      </c>
      <c r="F9">
        <v>0</v>
      </c>
    </row>
    <row r="10" spans="1:6" x14ac:dyDescent="0.3">
      <c r="A10" t="s">
        <v>343</v>
      </c>
      <c r="B10" t="s">
        <v>344</v>
      </c>
      <c r="C10" t="s">
        <v>351</v>
      </c>
      <c r="D10">
        <v>2340.6633144656298</v>
      </c>
      <c r="E10">
        <v>2340.6627350427352</v>
      </c>
      <c r="F10">
        <v>5.7942289458878804E-4</v>
      </c>
    </row>
    <row r="11" spans="1:6" x14ac:dyDescent="0.3">
      <c r="A11" t="s">
        <v>343</v>
      </c>
      <c r="B11" t="s">
        <v>344</v>
      </c>
      <c r="C11" t="s">
        <v>352</v>
      </c>
      <c r="D11">
        <v>438.9</v>
      </c>
      <c r="E11">
        <v>438.9</v>
      </c>
      <c r="F11">
        <v>0</v>
      </c>
    </row>
    <row r="12" spans="1:6" x14ac:dyDescent="0.3">
      <c r="A12" t="s">
        <v>343</v>
      </c>
      <c r="B12" t="s">
        <v>344</v>
      </c>
      <c r="C12" t="s">
        <v>353</v>
      </c>
      <c r="D12">
        <v>30.745007610817499</v>
      </c>
      <c r="E12">
        <v>30.745000000000001</v>
      </c>
      <c r="F12">
        <v>7.6108174944522489E-6</v>
      </c>
    </row>
    <row r="13" spans="1:6" x14ac:dyDescent="0.3">
      <c r="A13" t="s">
        <v>343</v>
      </c>
      <c r="B13" t="s">
        <v>344</v>
      </c>
      <c r="C13" t="s">
        <v>354</v>
      </c>
      <c r="D13">
        <v>1871.018306854812</v>
      </c>
      <c r="E13">
        <v>1871.017735042735</v>
      </c>
      <c r="F13">
        <v>5.718120769415691E-4</v>
      </c>
    </row>
    <row r="14" spans="1:6" x14ac:dyDescent="0.3">
      <c r="A14" t="s">
        <v>343</v>
      </c>
      <c r="B14" t="s">
        <v>344</v>
      </c>
      <c r="C14" t="s">
        <v>355</v>
      </c>
      <c r="D14">
        <v>2010.018306854812</v>
      </c>
      <c r="E14">
        <v>2010.017735042735</v>
      </c>
      <c r="F14">
        <v>5.718120769415691E-4</v>
      </c>
    </row>
    <row r="15" spans="1:6" x14ac:dyDescent="0.3">
      <c r="A15" t="s">
        <v>343</v>
      </c>
      <c r="B15" t="s">
        <v>344</v>
      </c>
      <c r="C15" t="s">
        <v>356</v>
      </c>
      <c r="D15">
        <v>361.80329523386621</v>
      </c>
      <c r="E15">
        <v>361.80319230769243</v>
      </c>
      <c r="F15">
        <v>1.029261738381138E-4</v>
      </c>
    </row>
    <row r="16" spans="1:6" x14ac:dyDescent="0.3">
      <c r="A16" t="s">
        <v>343</v>
      </c>
      <c r="B16" t="s">
        <v>344</v>
      </c>
      <c r="C16" t="s">
        <v>357</v>
      </c>
      <c r="D16">
        <v>1648.2150116209459</v>
      </c>
      <c r="E16">
        <v>1648.2145427350431</v>
      </c>
      <c r="F16">
        <v>4.6888590304661188E-4</v>
      </c>
    </row>
    <row r="17" spans="1:6" x14ac:dyDescent="0.3">
      <c r="A17" t="s">
        <v>343</v>
      </c>
      <c r="B17" t="s">
        <v>344</v>
      </c>
      <c r="C17" t="s">
        <v>358</v>
      </c>
      <c r="D17">
        <v>592.43042481931957</v>
      </c>
      <c r="E17">
        <v>592.43042481931957</v>
      </c>
      <c r="F17">
        <v>0</v>
      </c>
    </row>
    <row r="18" spans="1:6" x14ac:dyDescent="0.3">
      <c r="A18" t="s">
        <v>343</v>
      </c>
      <c r="B18" t="s">
        <v>344</v>
      </c>
      <c r="C18" t="s">
        <v>359</v>
      </c>
      <c r="D18">
        <v>2.7821241829766281</v>
      </c>
      <c r="E18">
        <v>2.7821233915150758</v>
      </c>
      <c r="F18">
        <v>7.9146155140819019E-7</v>
      </c>
    </row>
    <row r="19" spans="1:6" x14ac:dyDescent="0.3">
      <c r="A19" t="s">
        <v>343</v>
      </c>
      <c r="B19" t="s">
        <v>344</v>
      </c>
      <c r="C19" t="s">
        <v>360</v>
      </c>
      <c r="D19">
        <v>1638.464320125941</v>
      </c>
      <c r="E19">
        <v>1638.463914529915</v>
      </c>
      <c r="F19">
        <v>4.0559602621215157E-4</v>
      </c>
    </row>
    <row r="20" spans="1:6" x14ac:dyDescent="0.3">
      <c r="A20" t="s">
        <v>343</v>
      </c>
      <c r="B20" t="s">
        <v>344</v>
      </c>
      <c r="C20" t="s">
        <v>361</v>
      </c>
      <c r="D20">
        <v>10027.849320125941</v>
      </c>
      <c r="E20">
        <v>10027.848914529921</v>
      </c>
      <c r="F20">
        <v>4.0559602530265693E-4</v>
      </c>
    </row>
    <row r="21" spans="1:6" x14ac:dyDescent="0.3">
      <c r="A21" t="s">
        <v>343</v>
      </c>
      <c r="B21" t="s">
        <v>362</v>
      </c>
      <c r="C21" t="s">
        <v>345</v>
      </c>
      <c r="D21">
        <v>132.26150000000001</v>
      </c>
      <c r="E21">
        <v>132.26150000000001</v>
      </c>
      <c r="F21">
        <v>0</v>
      </c>
    </row>
    <row r="22" spans="1:6" x14ac:dyDescent="0.3">
      <c r="A22" t="s">
        <v>343</v>
      </c>
      <c r="B22" t="s">
        <v>362</v>
      </c>
      <c r="C22" t="s">
        <v>346</v>
      </c>
      <c r="D22">
        <v>22596.600600000002</v>
      </c>
      <c r="E22">
        <v>22596.600600000002</v>
      </c>
      <c r="F22">
        <v>0</v>
      </c>
    </row>
    <row r="23" spans="1:6" x14ac:dyDescent="0.3">
      <c r="A23" t="s">
        <v>343</v>
      </c>
      <c r="B23" t="s">
        <v>362</v>
      </c>
      <c r="C23" t="s">
        <v>347</v>
      </c>
      <c r="D23">
        <v>170.847908121411</v>
      </c>
      <c r="E23">
        <v>170.847908121411</v>
      </c>
      <c r="F23">
        <v>0</v>
      </c>
    </row>
    <row r="24" spans="1:6" x14ac:dyDescent="0.3">
      <c r="A24" t="s">
        <v>343</v>
      </c>
      <c r="B24" t="s">
        <v>362</v>
      </c>
      <c r="C24" t="s">
        <v>348</v>
      </c>
      <c r="D24">
        <v>3061.1495991142501</v>
      </c>
      <c r="E24">
        <v>3061.15</v>
      </c>
      <c r="F24">
        <v>-4.0088574996843818E-4</v>
      </c>
    </row>
    <row r="25" spans="1:6" x14ac:dyDescent="0.3">
      <c r="A25" t="s">
        <v>343</v>
      </c>
      <c r="B25" t="s">
        <v>362</v>
      </c>
      <c r="C25" t="s">
        <v>349</v>
      </c>
      <c r="D25">
        <v>13.546947407276161</v>
      </c>
      <c r="E25">
        <v>13.546949181373771</v>
      </c>
      <c r="F25">
        <v>-1.774097604823055E-6</v>
      </c>
    </row>
    <row r="26" spans="1:6" x14ac:dyDescent="0.3">
      <c r="A26" t="s">
        <v>343</v>
      </c>
      <c r="B26" t="s">
        <v>362</v>
      </c>
      <c r="C26" t="s">
        <v>350</v>
      </c>
      <c r="D26">
        <v>28.640436501079911</v>
      </c>
      <c r="E26">
        <v>28.640397071599391</v>
      </c>
      <c r="F26">
        <v>3.942948051616213E-5</v>
      </c>
    </row>
    <row r="27" spans="1:6" x14ac:dyDescent="0.3">
      <c r="A27" t="s">
        <v>343</v>
      </c>
      <c r="B27" t="s">
        <v>362</v>
      </c>
      <c r="C27" t="s">
        <v>351</v>
      </c>
      <c r="D27">
        <v>876.72660713737889</v>
      </c>
      <c r="E27">
        <v>876.72551495726475</v>
      </c>
      <c r="F27">
        <v>1.0921801141421379E-3</v>
      </c>
    </row>
    <row r="28" spans="1:6" x14ac:dyDescent="0.3">
      <c r="A28" t="s">
        <v>343</v>
      </c>
      <c r="B28" t="s">
        <v>362</v>
      </c>
      <c r="C28" t="s">
        <v>352</v>
      </c>
      <c r="D28">
        <v>440.00000000000011</v>
      </c>
      <c r="E28">
        <v>440.00000000000011</v>
      </c>
      <c r="F28">
        <v>0</v>
      </c>
    </row>
    <row r="29" spans="1:6" x14ac:dyDescent="0.3">
      <c r="A29" t="s">
        <v>343</v>
      </c>
      <c r="B29" t="s">
        <v>362</v>
      </c>
      <c r="C29" t="s">
        <v>353</v>
      </c>
      <c r="D29">
        <v>19.897472394242619</v>
      </c>
      <c r="E29">
        <v>19.897475</v>
      </c>
      <c r="F29">
        <v>-2.6057573734306061E-6</v>
      </c>
    </row>
    <row r="30" spans="1:6" x14ac:dyDescent="0.3">
      <c r="A30" t="s">
        <v>343</v>
      </c>
      <c r="B30" t="s">
        <v>362</v>
      </c>
      <c r="C30" t="s">
        <v>354</v>
      </c>
      <c r="D30">
        <v>416.82913474313619</v>
      </c>
      <c r="E30">
        <v>416.82803995726471</v>
      </c>
      <c r="F30">
        <v>1.094785871487147E-3</v>
      </c>
    </row>
    <row r="31" spans="1:6" x14ac:dyDescent="0.3">
      <c r="A31" t="s">
        <v>343</v>
      </c>
      <c r="B31" t="s">
        <v>362</v>
      </c>
      <c r="C31" t="s">
        <v>355</v>
      </c>
      <c r="D31">
        <v>550.82913474313614</v>
      </c>
      <c r="E31">
        <v>550.82803995726476</v>
      </c>
      <c r="F31">
        <v>1.09478587137346E-3</v>
      </c>
    </row>
    <row r="32" spans="1:6" x14ac:dyDescent="0.3">
      <c r="A32" t="s">
        <v>343</v>
      </c>
      <c r="B32" t="s">
        <v>362</v>
      </c>
      <c r="C32" t="s">
        <v>356</v>
      </c>
      <c r="D32">
        <v>99.149244253764493</v>
      </c>
      <c r="E32">
        <v>99.149047192307663</v>
      </c>
      <c r="F32">
        <v>1.9706145683073831E-4</v>
      </c>
    </row>
    <row r="33" spans="1:6" x14ac:dyDescent="0.3">
      <c r="A33" t="s">
        <v>343</v>
      </c>
      <c r="B33" t="s">
        <v>362</v>
      </c>
      <c r="C33" t="s">
        <v>357</v>
      </c>
      <c r="D33">
        <v>451.67989048937159</v>
      </c>
      <c r="E33">
        <v>451.67899276495712</v>
      </c>
      <c r="F33">
        <v>8.9772441452851126E-4</v>
      </c>
    </row>
    <row r="34" spans="1:6" x14ac:dyDescent="0.3">
      <c r="A34" t="s">
        <v>343</v>
      </c>
      <c r="B34" t="s">
        <v>362</v>
      </c>
      <c r="C34" t="s">
        <v>358</v>
      </c>
      <c r="D34">
        <v>587.93400736452168</v>
      </c>
      <c r="E34">
        <v>587.93400665659192</v>
      </c>
      <c r="F34">
        <v>7.0792975748190656E-7</v>
      </c>
    </row>
    <row r="35" spans="1:6" x14ac:dyDescent="0.3">
      <c r="A35" t="s">
        <v>343</v>
      </c>
      <c r="B35" t="s">
        <v>362</v>
      </c>
      <c r="C35" t="s">
        <v>359</v>
      </c>
      <c r="D35">
        <v>0.76824930150592241</v>
      </c>
      <c r="E35">
        <v>0.76824777551739687</v>
      </c>
      <c r="F35">
        <v>1.525988525541422E-6</v>
      </c>
    </row>
    <row r="36" spans="1:6" x14ac:dyDescent="0.3">
      <c r="A36" t="s">
        <v>343</v>
      </c>
      <c r="B36" t="s">
        <v>362</v>
      </c>
      <c r="C36" t="s">
        <v>360</v>
      </c>
      <c r="D36">
        <v>613.70862499616521</v>
      </c>
      <c r="E36">
        <v>613.70786047008528</v>
      </c>
      <c r="F36">
        <v>7.6452607993360289E-4</v>
      </c>
    </row>
    <row r="37" spans="1:6" x14ac:dyDescent="0.3">
      <c r="A37" t="s">
        <v>343</v>
      </c>
      <c r="B37" t="s">
        <v>362</v>
      </c>
      <c r="C37" t="s">
        <v>361</v>
      </c>
      <c r="D37">
        <v>9437.5579451221056</v>
      </c>
      <c r="E37">
        <v>9437.5567750000009</v>
      </c>
      <c r="F37">
        <v>1.1701221046678261E-3</v>
      </c>
    </row>
    <row r="38" spans="1:6" x14ac:dyDescent="0.3">
      <c r="A38" t="s">
        <v>343</v>
      </c>
      <c r="B38" t="s">
        <v>363</v>
      </c>
      <c r="C38" t="s">
        <v>345</v>
      </c>
      <c r="D38">
        <v>170.25800000000001</v>
      </c>
      <c r="E38">
        <v>170.25800000000001</v>
      </c>
      <c r="F38">
        <v>0</v>
      </c>
    </row>
    <row r="39" spans="1:6" x14ac:dyDescent="0.3">
      <c r="A39" t="s">
        <v>343</v>
      </c>
      <c r="B39" t="s">
        <v>363</v>
      </c>
      <c r="C39" t="s">
        <v>346</v>
      </c>
      <c r="D39">
        <v>32478.739046999999</v>
      </c>
      <c r="E39">
        <v>32478.739046999999</v>
      </c>
      <c r="F39">
        <v>0</v>
      </c>
    </row>
    <row r="40" spans="1:6" x14ac:dyDescent="0.3">
      <c r="A40" t="s">
        <v>343</v>
      </c>
      <c r="B40" t="s">
        <v>363</v>
      </c>
      <c r="C40" t="s">
        <v>347</v>
      </c>
      <c r="D40">
        <v>190.76189692701661</v>
      </c>
      <c r="E40">
        <v>190.76189692701661</v>
      </c>
      <c r="F40">
        <v>0</v>
      </c>
    </row>
    <row r="41" spans="1:6" x14ac:dyDescent="0.3">
      <c r="A41" t="s">
        <v>343</v>
      </c>
      <c r="B41" t="s">
        <v>363</v>
      </c>
      <c r="C41" t="s">
        <v>348</v>
      </c>
      <c r="D41">
        <v>2962.0755450000001</v>
      </c>
      <c r="E41">
        <v>2962.0755450000001</v>
      </c>
      <c r="F41">
        <v>0</v>
      </c>
    </row>
    <row r="42" spans="1:6" x14ac:dyDescent="0.3">
      <c r="A42" t="s">
        <v>343</v>
      </c>
      <c r="B42" t="s">
        <v>363</v>
      </c>
      <c r="C42" t="s">
        <v>349</v>
      </c>
      <c r="D42">
        <v>9.1200447797975759</v>
      </c>
      <c r="E42">
        <v>9.1200447797975759</v>
      </c>
      <c r="F42">
        <v>0</v>
      </c>
    </row>
    <row r="43" spans="1:6" x14ac:dyDescent="0.3">
      <c r="A43" t="s">
        <v>343</v>
      </c>
      <c r="B43" t="s">
        <v>363</v>
      </c>
      <c r="C43" t="s">
        <v>350</v>
      </c>
      <c r="D43">
        <v>19.37503442867812</v>
      </c>
      <c r="E43">
        <v>19.37501274888271</v>
      </c>
      <c r="F43">
        <v>2.167979540246279E-5</v>
      </c>
    </row>
    <row r="44" spans="1:6" x14ac:dyDescent="0.3">
      <c r="A44" t="s">
        <v>343</v>
      </c>
      <c r="B44" t="s">
        <v>363</v>
      </c>
      <c r="C44" t="s">
        <v>351</v>
      </c>
      <c r="D44">
        <v>573.90315664720492</v>
      </c>
      <c r="E44">
        <v>573.90251447528715</v>
      </c>
      <c r="F44">
        <v>6.4217191777515836E-4</v>
      </c>
    </row>
    <row r="45" spans="1:6" x14ac:dyDescent="0.3">
      <c r="A45" t="s">
        <v>343</v>
      </c>
      <c r="B45" t="s">
        <v>363</v>
      </c>
      <c r="C45" t="s">
        <v>352</v>
      </c>
      <c r="D45">
        <v>446.9</v>
      </c>
      <c r="E45">
        <v>446.9</v>
      </c>
      <c r="F45">
        <v>0</v>
      </c>
    </row>
    <row r="46" spans="1:6" x14ac:dyDescent="0.3">
      <c r="A46" t="s">
        <v>343</v>
      </c>
      <c r="B46" t="s">
        <v>363</v>
      </c>
      <c r="C46" t="s">
        <v>353</v>
      </c>
      <c r="D46">
        <v>19.253491042499999</v>
      </c>
      <c r="E46">
        <v>19.253491042499999</v>
      </c>
      <c r="F46">
        <v>0</v>
      </c>
    </row>
    <row r="47" spans="1:6" x14ac:dyDescent="0.3">
      <c r="A47" t="s">
        <v>343</v>
      </c>
      <c r="B47" t="s">
        <v>363</v>
      </c>
      <c r="C47" t="s">
        <v>354</v>
      </c>
      <c r="D47">
        <v>107.7496656047049</v>
      </c>
      <c r="E47">
        <v>107.7490234327871</v>
      </c>
      <c r="F47">
        <v>6.4217191777515836E-4</v>
      </c>
    </row>
    <row r="48" spans="1:6" x14ac:dyDescent="0.3">
      <c r="A48" t="s">
        <v>343</v>
      </c>
      <c r="B48" t="s">
        <v>363</v>
      </c>
      <c r="C48" t="s">
        <v>355</v>
      </c>
      <c r="D48">
        <v>236.74966560470489</v>
      </c>
      <c r="E48">
        <v>236.74902343278711</v>
      </c>
      <c r="F48">
        <v>6.4217191777515836E-4</v>
      </c>
    </row>
    <row r="49" spans="1:6" x14ac:dyDescent="0.3">
      <c r="A49" t="s">
        <v>343</v>
      </c>
      <c r="B49" t="s">
        <v>363</v>
      </c>
      <c r="C49" t="s">
        <v>356</v>
      </c>
      <c r="D49">
        <v>42.614939808846877</v>
      </c>
      <c r="E49">
        <v>42.614824217901678</v>
      </c>
      <c r="F49">
        <v>1.1559094520663391E-4</v>
      </c>
    </row>
    <row r="50" spans="1:6" x14ac:dyDescent="0.3">
      <c r="A50" t="s">
        <v>343</v>
      </c>
      <c r="B50" t="s">
        <v>363</v>
      </c>
      <c r="C50" t="s">
        <v>357</v>
      </c>
      <c r="D50">
        <v>194.134725795858</v>
      </c>
      <c r="E50">
        <v>194.1341992148854</v>
      </c>
      <c r="F50">
        <v>5.2658097257562986E-4</v>
      </c>
    </row>
    <row r="51" spans="1:6" x14ac:dyDescent="0.3">
      <c r="A51" t="s">
        <v>343</v>
      </c>
      <c r="B51" t="s">
        <v>363</v>
      </c>
      <c r="C51" t="s">
        <v>358</v>
      </c>
      <c r="D51">
        <v>583.50987987332985</v>
      </c>
      <c r="E51">
        <v>583.50987803729583</v>
      </c>
      <c r="F51">
        <v>1.8360340163781071E-6</v>
      </c>
    </row>
    <row r="52" spans="1:6" x14ac:dyDescent="0.3">
      <c r="A52" t="s">
        <v>343</v>
      </c>
      <c r="B52" t="s">
        <v>363</v>
      </c>
      <c r="C52" t="s">
        <v>359</v>
      </c>
      <c r="D52">
        <v>0.33270169450772857</v>
      </c>
      <c r="E52">
        <v>0.33270079311746809</v>
      </c>
      <c r="F52">
        <v>9.0139026048818849E-7</v>
      </c>
    </row>
    <row r="53" spans="1:6" x14ac:dyDescent="0.3">
      <c r="A53" t="s">
        <v>343</v>
      </c>
      <c r="B53" t="s">
        <v>363</v>
      </c>
      <c r="C53" t="s">
        <v>360</v>
      </c>
      <c r="D53">
        <v>1836.4901012710559</v>
      </c>
      <c r="E53">
        <v>1836.488046320919</v>
      </c>
      <c r="F53">
        <v>2.0549501368805072E-3</v>
      </c>
    </row>
    <row r="54" spans="1:6" x14ac:dyDescent="0.3">
      <c r="A54" t="s">
        <v>343</v>
      </c>
      <c r="B54" t="s">
        <v>363</v>
      </c>
      <c r="C54" t="s">
        <v>361</v>
      </c>
      <c r="D54">
        <v>10067.633046393161</v>
      </c>
      <c r="E54">
        <v>10067.629821320919</v>
      </c>
      <c r="F54">
        <v>3.225072241548332E-3</v>
      </c>
    </row>
    <row r="55" spans="1:6" x14ac:dyDescent="0.3">
      <c r="A55" t="s">
        <v>343</v>
      </c>
      <c r="B55" t="s">
        <v>364</v>
      </c>
      <c r="C55" t="s">
        <v>345</v>
      </c>
      <c r="D55">
        <v>161.64699999999999</v>
      </c>
      <c r="E55">
        <v>161.64699999999999</v>
      </c>
      <c r="F55">
        <v>0</v>
      </c>
    </row>
    <row r="56" spans="1:6" x14ac:dyDescent="0.3">
      <c r="A56" t="s">
        <v>343</v>
      </c>
      <c r="B56" t="s">
        <v>364</v>
      </c>
      <c r="C56" t="s">
        <v>346</v>
      </c>
      <c r="D56">
        <v>30441.710749999998</v>
      </c>
      <c r="E56">
        <v>30441.710749999998</v>
      </c>
      <c r="F56">
        <v>0</v>
      </c>
    </row>
    <row r="57" spans="1:6" x14ac:dyDescent="0.3">
      <c r="A57" t="s">
        <v>343</v>
      </c>
      <c r="B57" t="s">
        <v>364</v>
      </c>
      <c r="C57" t="s">
        <v>347</v>
      </c>
      <c r="D57">
        <v>188.32215104517871</v>
      </c>
      <c r="E57">
        <v>188.32215104517871</v>
      </c>
      <c r="F57">
        <v>0</v>
      </c>
    </row>
    <row r="58" spans="1:6" x14ac:dyDescent="0.3">
      <c r="A58" t="s">
        <v>343</v>
      </c>
      <c r="B58" t="s">
        <v>364</v>
      </c>
      <c r="C58" t="s">
        <v>348</v>
      </c>
      <c r="D58">
        <v>3998.7896959999998</v>
      </c>
      <c r="E58">
        <v>3998.7896959999998</v>
      </c>
      <c r="F58">
        <v>-4.5474735088646412E-13</v>
      </c>
    </row>
    <row r="59" spans="1:6" x14ac:dyDescent="0.3">
      <c r="A59" t="s">
        <v>343</v>
      </c>
      <c r="B59" t="s">
        <v>364</v>
      </c>
      <c r="C59" t="s">
        <v>349</v>
      </c>
      <c r="D59">
        <v>13.135890189745661</v>
      </c>
      <c r="E59">
        <v>13.135890189745661</v>
      </c>
      <c r="F59">
        <v>-1.7763568394002501E-15</v>
      </c>
    </row>
    <row r="60" spans="1:6" x14ac:dyDescent="0.3">
      <c r="A60" t="s">
        <v>343</v>
      </c>
      <c r="B60" t="s">
        <v>364</v>
      </c>
      <c r="C60" t="s">
        <v>350</v>
      </c>
      <c r="D60">
        <v>34.945010864745008</v>
      </c>
      <c r="E60">
        <v>34.944989184949613</v>
      </c>
      <c r="F60">
        <v>2.167979540246279E-5</v>
      </c>
    </row>
    <row r="61" spans="1:6" x14ac:dyDescent="0.3">
      <c r="A61" t="s">
        <v>343</v>
      </c>
      <c r="B61" t="s">
        <v>364</v>
      </c>
      <c r="C61" t="s">
        <v>351</v>
      </c>
      <c r="D61">
        <v>1397.3774937255041</v>
      </c>
      <c r="E61">
        <v>1397.3766267960791</v>
      </c>
      <c r="F61">
        <v>8.6692942454646982E-4</v>
      </c>
    </row>
    <row r="62" spans="1:6" x14ac:dyDescent="0.3">
      <c r="A62" t="s">
        <v>343</v>
      </c>
      <c r="B62" t="s">
        <v>364</v>
      </c>
      <c r="C62" t="s">
        <v>352</v>
      </c>
      <c r="D62">
        <v>530.83000000000004</v>
      </c>
      <c r="E62">
        <v>530.83000000000004</v>
      </c>
      <c r="F62">
        <v>0</v>
      </c>
    </row>
    <row r="63" spans="1:6" x14ac:dyDescent="0.3">
      <c r="A63" t="s">
        <v>343</v>
      </c>
      <c r="B63" t="s">
        <v>364</v>
      </c>
      <c r="C63" t="s">
        <v>353</v>
      </c>
      <c r="D63">
        <v>25.992133024000001</v>
      </c>
      <c r="E63">
        <v>25.992133024000001</v>
      </c>
      <c r="F63">
        <v>-3.5527136788005009E-15</v>
      </c>
    </row>
    <row r="64" spans="1:6" x14ac:dyDescent="0.3">
      <c r="A64" t="s">
        <v>343</v>
      </c>
      <c r="B64" t="s">
        <v>364</v>
      </c>
      <c r="C64" t="s">
        <v>354</v>
      </c>
      <c r="D64">
        <v>840.55536070150356</v>
      </c>
      <c r="E64">
        <v>840.55449377207901</v>
      </c>
      <c r="F64">
        <v>8.6692942454646982E-4</v>
      </c>
    </row>
    <row r="65" spans="1:6" x14ac:dyDescent="0.3">
      <c r="A65" t="s">
        <v>343</v>
      </c>
      <c r="B65" t="s">
        <v>364</v>
      </c>
      <c r="C65" t="s">
        <v>355</v>
      </c>
      <c r="D65">
        <v>969.55536070150356</v>
      </c>
      <c r="E65">
        <v>969.55449377207901</v>
      </c>
      <c r="F65">
        <v>8.6692942454646982E-4</v>
      </c>
    </row>
    <row r="66" spans="1:6" x14ac:dyDescent="0.3">
      <c r="A66" t="s">
        <v>343</v>
      </c>
      <c r="B66" t="s">
        <v>364</v>
      </c>
      <c r="C66" t="s">
        <v>356</v>
      </c>
      <c r="D66">
        <v>174.5199649262706</v>
      </c>
      <c r="E66">
        <v>174.5198088789742</v>
      </c>
      <c r="F66">
        <v>1.560472964001747E-4</v>
      </c>
    </row>
    <row r="67" spans="1:6" x14ac:dyDescent="0.3">
      <c r="A67" t="s">
        <v>343</v>
      </c>
      <c r="B67" t="s">
        <v>364</v>
      </c>
      <c r="C67" t="s">
        <v>357</v>
      </c>
      <c r="D67">
        <v>795.03539577523293</v>
      </c>
      <c r="E67">
        <v>795.03468489310478</v>
      </c>
      <c r="F67">
        <v>7.1088212814629514E-4</v>
      </c>
    </row>
    <row r="68" spans="1:6" x14ac:dyDescent="0.3">
      <c r="A68" t="s">
        <v>343</v>
      </c>
      <c r="B68" t="s">
        <v>364</v>
      </c>
      <c r="C68" t="s">
        <v>358</v>
      </c>
      <c r="D68">
        <v>579.15718508840075</v>
      </c>
      <c r="E68">
        <v>579.15718177316921</v>
      </c>
      <c r="F68">
        <v>3.315231538181251E-6</v>
      </c>
    </row>
    <row r="69" spans="1:6" x14ac:dyDescent="0.3">
      <c r="A69" t="s">
        <v>343</v>
      </c>
      <c r="B69" t="s">
        <v>364</v>
      </c>
      <c r="C69" t="s">
        <v>359</v>
      </c>
      <c r="D69">
        <v>1.372745458823724</v>
      </c>
      <c r="E69">
        <v>1.37274423923916</v>
      </c>
      <c r="F69">
        <v>1.2195845640050611E-6</v>
      </c>
    </row>
    <row r="70" spans="1:6" x14ac:dyDescent="0.3">
      <c r="A70" t="s">
        <v>343</v>
      </c>
      <c r="B70" t="s">
        <v>364</v>
      </c>
      <c r="C70" t="s">
        <v>360</v>
      </c>
      <c r="D70">
        <v>1397.3774937255041</v>
      </c>
      <c r="E70">
        <v>1397.3766267960791</v>
      </c>
      <c r="F70">
        <v>8.6692942454646982E-4</v>
      </c>
    </row>
    <row r="71" spans="1:6" x14ac:dyDescent="0.3">
      <c r="A71" t="s">
        <v>343</v>
      </c>
      <c r="B71" t="s">
        <v>364</v>
      </c>
      <c r="C71" t="s">
        <v>361</v>
      </c>
      <c r="D71">
        <v>10229.220040118669</v>
      </c>
      <c r="E71">
        <v>10229.215948117</v>
      </c>
      <c r="F71">
        <v>4.0920016672316706E-3</v>
      </c>
    </row>
    <row r="72" spans="1:6" x14ac:dyDescent="0.3">
      <c r="A72" t="s">
        <v>343</v>
      </c>
      <c r="B72" t="s">
        <v>365</v>
      </c>
      <c r="C72" t="s">
        <v>345</v>
      </c>
      <c r="D72">
        <v>160.18639999999999</v>
      </c>
      <c r="E72">
        <v>160.18639999999999</v>
      </c>
      <c r="F72">
        <v>0</v>
      </c>
    </row>
    <row r="73" spans="1:6" x14ac:dyDescent="0.3">
      <c r="A73" t="s">
        <v>343</v>
      </c>
      <c r="B73" t="s">
        <v>365</v>
      </c>
      <c r="C73" t="s">
        <v>346</v>
      </c>
      <c r="D73">
        <v>29268.092168547992</v>
      </c>
      <c r="E73">
        <v>29268.092168547992</v>
      </c>
      <c r="F73">
        <v>0</v>
      </c>
    </row>
    <row r="74" spans="1:6" x14ac:dyDescent="0.3">
      <c r="A74" t="s">
        <v>343</v>
      </c>
      <c r="B74" t="s">
        <v>365</v>
      </c>
      <c r="C74" t="s">
        <v>347</v>
      </c>
      <c r="D74">
        <v>182.7127157395883</v>
      </c>
      <c r="E74">
        <v>182.7127157395883</v>
      </c>
      <c r="F74">
        <v>0</v>
      </c>
    </row>
    <row r="75" spans="1:6" x14ac:dyDescent="0.3">
      <c r="A75" t="s">
        <v>343</v>
      </c>
      <c r="B75" t="s">
        <v>365</v>
      </c>
      <c r="C75" t="s">
        <v>348</v>
      </c>
      <c r="D75">
        <v>5252.886245333344</v>
      </c>
      <c r="E75">
        <v>5252.8849450000007</v>
      </c>
      <c r="F75">
        <v>1.3003333433516671E-3</v>
      </c>
    </row>
    <row r="76" spans="1:6" x14ac:dyDescent="0.3">
      <c r="A76" t="s">
        <v>343</v>
      </c>
      <c r="B76" t="s">
        <v>365</v>
      </c>
      <c r="C76" t="s">
        <v>349</v>
      </c>
      <c r="D76">
        <v>17.947484294784989</v>
      </c>
      <c r="E76">
        <v>17.947479851948959</v>
      </c>
      <c r="F76">
        <v>4.4428360261861144E-6</v>
      </c>
    </row>
    <row r="77" spans="1:6" x14ac:dyDescent="0.3">
      <c r="A77" t="s">
        <v>343</v>
      </c>
      <c r="B77" t="s">
        <v>365</v>
      </c>
      <c r="C77" t="s">
        <v>350</v>
      </c>
      <c r="D77">
        <v>49.480370085470078</v>
      </c>
      <c r="E77">
        <v>49.480348405674683</v>
      </c>
      <c r="F77">
        <v>2.167979540246279E-5</v>
      </c>
    </row>
    <row r="78" spans="1:6" x14ac:dyDescent="0.3">
      <c r="A78" t="s">
        <v>343</v>
      </c>
      <c r="B78" t="s">
        <v>365</v>
      </c>
      <c r="C78" t="s">
        <v>351</v>
      </c>
      <c r="D78">
        <v>2599.147554359693</v>
      </c>
      <c r="E78">
        <v>2599.1457721352331</v>
      </c>
      <c r="F78">
        <v>1.7822244594754011E-3</v>
      </c>
    </row>
    <row r="79" spans="1:6" x14ac:dyDescent="0.3">
      <c r="A79" t="s">
        <v>343</v>
      </c>
      <c r="B79" t="s">
        <v>365</v>
      </c>
      <c r="C79" t="s">
        <v>352</v>
      </c>
      <c r="D79">
        <v>478.40100000000012</v>
      </c>
      <c r="E79">
        <v>478.40100000000012</v>
      </c>
      <c r="F79">
        <v>0</v>
      </c>
    </row>
    <row r="80" spans="1:6" x14ac:dyDescent="0.3">
      <c r="A80" t="s">
        <v>343</v>
      </c>
      <c r="B80" t="s">
        <v>365</v>
      </c>
      <c r="C80" t="s">
        <v>353</v>
      </c>
      <c r="D80">
        <v>34.143760594666738</v>
      </c>
      <c r="E80">
        <v>34.143752142500013</v>
      </c>
      <c r="F80">
        <v>8.4521667318426807E-6</v>
      </c>
    </row>
    <row r="81" spans="1:6" x14ac:dyDescent="0.3">
      <c r="A81" t="s">
        <v>343</v>
      </c>
      <c r="B81" t="s">
        <v>365</v>
      </c>
      <c r="C81" t="s">
        <v>354</v>
      </c>
      <c r="D81">
        <v>2086.602793765026</v>
      </c>
      <c r="E81">
        <v>2086.6010199927332</v>
      </c>
      <c r="F81">
        <v>1.7737722932906761E-3</v>
      </c>
    </row>
    <row r="82" spans="1:6" x14ac:dyDescent="0.3">
      <c r="A82" t="s">
        <v>343</v>
      </c>
      <c r="B82" t="s">
        <v>365</v>
      </c>
      <c r="C82" t="s">
        <v>355</v>
      </c>
      <c r="D82">
        <v>2215.602793765026</v>
      </c>
      <c r="E82">
        <v>2215.6010199927332</v>
      </c>
      <c r="F82">
        <v>1.7737722932906761E-3</v>
      </c>
    </row>
    <row r="83" spans="1:6" x14ac:dyDescent="0.3">
      <c r="A83" t="s">
        <v>343</v>
      </c>
      <c r="B83" t="s">
        <v>365</v>
      </c>
      <c r="C83" t="s">
        <v>356</v>
      </c>
      <c r="D83">
        <v>398.80850287770471</v>
      </c>
      <c r="E83">
        <v>398.80818359869193</v>
      </c>
      <c r="F83">
        <v>3.1927901272865711E-4</v>
      </c>
    </row>
    <row r="84" spans="1:6" x14ac:dyDescent="0.3">
      <c r="A84" t="s">
        <v>343</v>
      </c>
      <c r="B84" t="s">
        <v>365</v>
      </c>
      <c r="C84" t="s">
        <v>357</v>
      </c>
      <c r="D84">
        <v>1816.794290887321</v>
      </c>
      <c r="E84">
        <v>1816.7928363940409</v>
      </c>
      <c r="F84">
        <v>1.454493280562019E-3</v>
      </c>
    </row>
    <row r="85" spans="1:6" x14ac:dyDescent="0.3">
      <c r="A85" t="s">
        <v>343</v>
      </c>
      <c r="B85" t="s">
        <v>365</v>
      </c>
      <c r="C85" t="s">
        <v>358</v>
      </c>
      <c r="D85">
        <v>574.87507270420133</v>
      </c>
      <c r="E85">
        <v>574.87507084023775</v>
      </c>
      <c r="F85">
        <v>1.863963575488015E-6</v>
      </c>
    </row>
    <row r="86" spans="1:6" x14ac:dyDescent="0.3">
      <c r="A86" t="s">
        <v>343</v>
      </c>
      <c r="B86" t="s">
        <v>365</v>
      </c>
      <c r="C86" t="s">
        <v>359</v>
      </c>
      <c r="D86">
        <v>3.1603288734388082</v>
      </c>
      <c r="E86">
        <v>3.1603263535825539</v>
      </c>
      <c r="F86">
        <v>2.5198562543238272E-6</v>
      </c>
    </row>
    <row r="87" spans="1:6" x14ac:dyDescent="0.3">
      <c r="A87" t="s">
        <v>343</v>
      </c>
      <c r="B87" t="s">
        <v>365</v>
      </c>
      <c r="C87" t="s">
        <v>360</v>
      </c>
      <c r="D87">
        <v>1819.403288051785</v>
      </c>
      <c r="E87">
        <v>1819.402040494663</v>
      </c>
      <c r="F87">
        <v>1.247557121587306E-3</v>
      </c>
    </row>
    <row r="88" spans="1:6" x14ac:dyDescent="0.3">
      <c r="A88" t="s">
        <v>343</v>
      </c>
      <c r="B88" t="s">
        <v>365</v>
      </c>
      <c r="C88" t="s">
        <v>361</v>
      </c>
      <c r="D88">
        <v>10831.182978170449</v>
      </c>
      <c r="E88">
        <v>10831.17763861166</v>
      </c>
      <c r="F88">
        <v>5.339558789273724E-3</v>
      </c>
    </row>
    <row r="89" spans="1:6" x14ac:dyDescent="0.3">
      <c r="A89" t="s">
        <v>343</v>
      </c>
      <c r="B89" t="s">
        <v>366</v>
      </c>
      <c r="C89" t="s">
        <v>345</v>
      </c>
      <c r="D89">
        <v>144.16503499999999</v>
      </c>
      <c r="E89">
        <v>144.16503499999999</v>
      </c>
      <c r="F89">
        <v>0</v>
      </c>
    </row>
    <row r="90" spans="1:6" x14ac:dyDescent="0.3">
      <c r="A90" t="s">
        <v>343</v>
      </c>
      <c r="B90" t="s">
        <v>366</v>
      </c>
      <c r="C90" t="s">
        <v>346</v>
      </c>
      <c r="D90">
        <v>25246.052020349998</v>
      </c>
      <c r="E90">
        <v>25246.052020349998</v>
      </c>
      <c r="F90">
        <v>0</v>
      </c>
    </row>
    <row r="91" spans="1:6" x14ac:dyDescent="0.3">
      <c r="A91" t="s">
        <v>343</v>
      </c>
      <c r="B91" t="s">
        <v>366</v>
      </c>
      <c r="C91" t="s">
        <v>347</v>
      </c>
      <c r="D91">
        <v>175.11910582444619</v>
      </c>
      <c r="E91">
        <v>175.11910582444619</v>
      </c>
      <c r="F91">
        <v>0</v>
      </c>
    </row>
    <row r="92" spans="1:6" x14ac:dyDescent="0.3">
      <c r="A92" t="s">
        <v>343</v>
      </c>
      <c r="B92" t="s">
        <v>366</v>
      </c>
      <c r="C92" t="s">
        <v>348</v>
      </c>
      <c r="D92">
        <v>3416.6493202207848</v>
      </c>
      <c r="E92">
        <v>3416.6497676624999</v>
      </c>
      <c r="F92">
        <v>-4.4744171509591979E-4</v>
      </c>
    </row>
    <row r="93" spans="1:6" x14ac:dyDescent="0.3">
      <c r="A93" t="s">
        <v>343</v>
      </c>
      <c r="B93" t="s">
        <v>366</v>
      </c>
      <c r="C93" t="s">
        <v>349</v>
      </c>
      <c r="D93">
        <v>13.53340045986889</v>
      </c>
      <c r="E93">
        <v>13.533402232192399</v>
      </c>
      <c r="F93">
        <v>-1.7723235092859111E-6</v>
      </c>
    </row>
    <row r="94" spans="1:6" x14ac:dyDescent="0.3">
      <c r="A94" t="s">
        <v>343</v>
      </c>
      <c r="B94" t="s">
        <v>366</v>
      </c>
      <c r="C94" t="s">
        <v>350</v>
      </c>
      <c r="D94">
        <v>28.635336501079909</v>
      </c>
      <c r="E94">
        <v>28.63527539180399</v>
      </c>
      <c r="F94">
        <v>6.1109275918624917E-5</v>
      </c>
    </row>
    <row r="95" spans="1:6" x14ac:dyDescent="0.3">
      <c r="A95" t="s">
        <v>343</v>
      </c>
      <c r="B95" t="s">
        <v>366</v>
      </c>
      <c r="C95" t="s">
        <v>351</v>
      </c>
      <c r="D95">
        <v>978.36902990708109</v>
      </c>
      <c r="E95">
        <v>978.36707014358819</v>
      </c>
      <c r="F95">
        <v>1.9597634928913981E-3</v>
      </c>
    </row>
    <row r="96" spans="1:6" x14ac:dyDescent="0.3">
      <c r="A96" t="s">
        <v>343</v>
      </c>
      <c r="B96" t="s">
        <v>366</v>
      </c>
      <c r="C96" t="s">
        <v>352</v>
      </c>
      <c r="D96">
        <v>479.60000000000008</v>
      </c>
      <c r="E96">
        <v>479.60000000000008</v>
      </c>
      <c r="F96">
        <v>0</v>
      </c>
    </row>
    <row r="97" spans="1:6" x14ac:dyDescent="0.3">
      <c r="A97" t="s">
        <v>343</v>
      </c>
      <c r="B97" t="s">
        <v>366</v>
      </c>
      <c r="C97" t="s">
        <v>353</v>
      </c>
      <c r="D97">
        <v>22.2082205814351</v>
      </c>
      <c r="E97">
        <v>22.208223489806251</v>
      </c>
      <c r="F97">
        <v>-2.9083711474697789E-6</v>
      </c>
    </row>
    <row r="98" spans="1:6" x14ac:dyDescent="0.3">
      <c r="A98" t="s">
        <v>343</v>
      </c>
      <c r="B98" t="s">
        <v>366</v>
      </c>
      <c r="C98" t="s">
        <v>354</v>
      </c>
      <c r="D98">
        <v>476.56080932564589</v>
      </c>
      <c r="E98">
        <v>476.55884665378193</v>
      </c>
      <c r="F98">
        <v>1.9626718640211038E-3</v>
      </c>
    </row>
    <row r="99" spans="1:6" x14ac:dyDescent="0.3">
      <c r="A99" t="s">
        <v>343</v>
      </c>
      <c r="B99" t="s">
        <v>366</v>
      </c>
      <c r="C99" t="s">
        <v>355</v>
      </c>
      <c r="D99">
        <v>605.56080932564589</v>
      </c>
      <c r="E99">
        <v>605.55884665378187</v>
      </c>
      <c r="F99">
        <v>1.9626718640211038E-3</v>
      </c>
    </row>
    <row r="100" spans="1:6" x14ac:dyDescent="0.3">
      <c r="A100" t="s">
        <v>343</v>
      </c>
      <c r="B100" t="s">
        <v>366</v>
      </c>
      <c r="C100" t="s">
        <v>356</v>
      </c>
      <c r="D100">
        <v>109.0009456786163</v>
      </c>
      <c r="E100">
        <v>109.00059239768071</v>
      </c>
      <c r="F100">
        <v>3.5328093552777767E-4</v>
      </c>
    </row>
    <row r="101" spans="1:6" x14ac:dyDescent="0.3">
      <c r="A101" t="s">
        <v>343</v>
      </c>
      <c r="B101" t="s">
        <v>366</v>
      </c>
      <c r="C101" t="s">
        <v>357</v>
      </c>
      <c r="D101">
        <v>496.5598636470296</v>
      </c>
      <c r="E101">
        <v>496.55825425610112</v>
      </c>
      <c r="F101">
        <v>1.609390928479115E-3</v>
      </c>
    </row>
    <row r="102" spans="1:6" x14ac:dyDescent="0.3">
      <c r="A102" t="s">
        <v>343</v>
      </c>
      <c r="B102" t="s">
        <v>366</v>
      </c>
      <c r="C102" t="s">
        <v>358</v>
      </c>
      <c r="D102">
        <v>570.66270908716194</v>
      </c>
      <c r="E102">
        <v>570.66270825828974</v>
      </c>
      <c r="F102">
        <v>8.2887220287375385E-7</v>
      </c>
    </row>
    <row r="103" spans="1:6" x14ac:dyDescent="0.3">
      <c r="A103" t="s">
        <v>343</v>
      </c>
      <c r="B103" t="s">
        <v>366</v>
      </c>
      <c r="C103" t="s">
        <v>359</v>
      </c>
      <c r="D103">
        <v>0.87014598245140629</v>
      </c>
      <c r="E103">
        <v>0.87014316350132359</v>
      </c>
      <c r="F103">
        <v>2.8189500826947271E-6</v>
      </c>
    </row>
    <row r="104" spans="1:6" x14ac:dyDescent="0.3">
      <c r="A104" t="s">
        <v>343</v>
      </c>
      <c r="B104" t="s">
        <v>366</v>
      </c>
      <c r="C104" t="s">
        <v>360</v>
      </c>
      <c r="D104">
        <v>684.85832093495674</v>
      </c>
      <c r="E104">
        <v>684.85694910051166</v>
      </c>
      <c r="F104">
        <v>1.371834445080822E-3</v>
      </c>
    </row>
    <row r="105" spans="1:6" x14ac:dyDescent="0.3">
      <c r="A105" t="s">
        <v>343</v>
      </c>
      <c r="B105" t="s">
        <v>366</v>
      </c>
      <c r="C105" t="s">
        <v>361</v>
      </c>
      <c r="D105">
        <v>10298.181299105399</v>
      </c>
      <c r="E105">
        <v>10298.17458771217</v>
      </c>
      <c r="F105">
        <v>6.7113932345819194E-3</v>
      </c>
    </row>
    <row r="106" spans="1:6" x14ac:dyDescent="0.3">
      <c r="A106" t="s">
        <v>343</v>
      </c>
      <c r="B106" t="s">
        <v>367</v>
      </c>
      <c r="C106" t="s">
        <v>345</v>
      </c>
      <c r="D106">
        <v>583.72150000000011</v>
      </c>
      <c r="E106">
        <v>583.72149999999999</v>
      </c>
      <c r="F106">
        <v>1.13686837721616E-13</v>
      </c>
    </row>
    <row r="107" spans="1:6" x14ac:dyDescent="0.3">
      <c r="A107" t="s">
        <v>343</v>
      </c>
      <c r="B107" t="s">
        <v>367</v>
      </c>
      <c r="C107" t="s">
        <v>346</v>
      </c>
      <c r="D107">
        <v>105045.046508</v>
      </c>
      <c r="E107">
        <v>105045.046508</v>
      </c>
      <c r="F107">
        <v>0</v>
      </c>
    </row>
    <row r="108" spans="1:6" x14ac:dyDescent="0.3">
      <c r="A108" t="s">
        <v>343</v>
      </c>
      <c r="B108" t="s">
        <v>367</v>
      </c>
      <c r="C108" t="s">
        <v>347</v>
      </c>
      <c r="D108">
        <v>179.9574737404738</v>
      </c>
      <c r="E108">
        <v>179.9574737404738</v>
      </c>
      <c r="F108">
        <v>-2.8421709430404007E-14</v>
      </c>
    </row>
    <row r="109" spans="1:6" x14ac:dyDescent="0.3">
      <c r="A109" t="s">
        <v>343</v>
      </c>
      <c r="B109" t="s">
        <v>367</v>
      </c>
      <c r="C109" t="s">
        <v>348</v>
      </c>
      <c r="D109">
        <v>14077.15077000925</v>
      </c>
      <c r="E109">
        <v>14077.15</v>
      </c>
      <c r="F109">
        <v>7.7000925011816435E-4</v>
      </c>
    </row>
    <row r="110" spans="1:6" x14ac:dyDescent="0.3">
      <c r="A110" t="s">
        <v>343</v>
      </c>
      <c r="B110" t="s">
        <v>367</v>
      </c>
      <c r="C110" t="s">
        <v>349</v>
      </c>
      <c r="D110">
        <v>13.401061009513819</v>
      </c>
      <c r="E110">
        <v>13.401060276486159</v>
      </c>
      <c r="F110">
        <v>7.3302766345761938E-7</v>
      </c>
    </row>
    <row r="111" spans="1:6" x14ac:dyDescent="0.3">
      <c r="A111" t="s">
        <v>343</v>
      </c>
      <c r="B111" t="s">
        <v>367</v>
      </c>
      <c r="C111" t="s">
        <v>350</v>
      </c>
      <c r="D111">
        <v>35.500009932760882</v>
      </c>
      <c r="E111">
        <v>35.5</v>
      </c>
      <c r="F111">
        <v>9.93276088223638E-6</v>
      </c>
    </row>
    <row r="112" spans="1:6" x14ac:dyDescent="0.3">
      <c r="A112" t="s">
        <v>343</v>
      </c>
      <c r="B112" t="s">
        <v>367</v>
      </c>
      <c r="C112" t="s">
        <v>351</v>
      </c>
      <c r="D112">
        <v>4997.3899216030086</v>
      </c>
      <c r="E112">
        <v>4997.38825</v>
      </c>
      <c r="F112">
        <v>1.67160300861724E-3</v>
      </c>
    </row>
    <row r="113" spans="1:6" x14ac:dyDescent="0.3">
      <c r="A113" t="s">
        <v>343</v>
      </c>
      <c r="B113" t="s">
        <v>367</v>
      </c>
      <c r="C113" t="s">
        <v>352</v>
      </c>
      <c r="D113">
        <v>1775.9</v>
      </c>
      <c r="E113">
        <v>1775.9</v>
      </c>
      <c r="F113">
        <v>0</v>
      </c>
    </row>
    <row r="114" spans="1:6" x14ac:dyDescent="0.3">
      <c r="A114" t="s">
        <v>343</v>
      </c>
      <c r="B114" t="s">
        <v>367</v>
      </c>
      <c r="C114" t="s">
        <v>353</v>
      </c>
      <c r="D114">
        <v>89.642480005060122</v>
      </c>
      <c r="E114">
        <v>89.642475000000005</v>
      </c>
      <c r="F114">
        <v>5.0050601174689291E-6</v>
      </c>
    </row>
    <row r="115" spans="1:6" x14ac:dyDescent="0.3">
      <c r="A115" t="s">
        <v>343</v>
      </c>
      <c r="B115" t="s">
        <v>367</v>
      </c>
      <c r="C115" t="s">
        <v>354</v>
      </c>
      <c r="D115">
        <v>3197.847441597949</v>
      </c>
      <c r="E115">
        <v>3197.8457749999998</v>
      </c>
      <c r="F115">
        <v>1.6665979487697771E-3</v>
      </c>
    </row>
    <row r="116" spans="1:6" x14ac:dyDescent="0.3">
      <c r="A116" t="s">
        <v>343</v>
      </c>
      <c r="B116" t="s">
        <v>367</v>
      </c>
      <c r="C116" t="s">
        <v>355</v>
      </c>
      <c r="D116">
        <v>3738.8474415979481</v>
      </c>
      <c r="E116">
        <v>3738.8457749999998</v>
      </c>
      <c r="F116">
        <v>1.6665979483150291E-3</v>
      </c>
    </row>
    <row r="117" spans="1:6" x14ac:dyDescent="0.3">
      <c r="A117" t="s">
        <v>343</v>
      </c>
      <c r="B117" t="s">
        <v>367</v>
      </c>
      <c r="C117" t="s">
        <v>356</v>
      </c>
      <c r="D117">
        <v>662.9525394876307</v>
      </c>
      <c r="E117">
        <v>662.95223950000002</v>
      </c>
      <c r="F117">
        <v>2.9998763068306289E-4</v>
      </c>
    </row>
    <row r="118" spans="1:6" x14ac:dyDescent="0.3">
      <c r="A118" t="s">
        <v>343</v>
      </c>
      <c r="B118" t="s">
        <v>367</v>
      </c>
      <c r="C118" t="s">
        <v>357</v>
      </c>
      <c r="D118">
        <v>3075.8949021103181</v>
      </c>
      <c r="E118">
        <v>3075.8935354999999</v>
      </c>
      <c r="F118">
        <v>1.366610317745653E-3</v>
      </c>
    </row>
    <row r="119" spans="1:6" x14ac:dyDescent="0.3">
      <c r="A119" t="s">
        <v>343</v>
      </c>
      <c r="B119" t="s">
        <v>367</v>
      </c>
      <c r="C119" t="s">
        <v>358</v>
      </c>
      <c r="D119">
        <v>596.34110804596025</v>
      </c>
      <c r="E119">
        <v>596.34110786897782</v>
      </c>
      <c r="F119">
        <v>1.7698243937047659E-7</v>
      </c>
    </row>
    <row r="120" spans="1:6" x14ac:dyDescent="0.3">
      <c r="A120" t="s">
        <v>343</v>
      </c>
      <c r="B120" t="s">
        <v>367</v>
      </c>
      <c r="C120" t="s">
        <v>359</v>
      </c>
      <c r="D120">
        <v>5.1579454453327021</v>
      </c>
      <c r="E120">
        <v>5.1579431552047303</v>
      </c>
      <c r="F120">
        <v>2.2901279717046918E-6</v>
      </c>
    </row>
    <row r="121" spans="1:6" x14ac:dyDescent="0.3">
      <c r="A121" t="s">
        <v>343</v>
      </c>
      <c r="B121" t="s">
        <v>367</v>
      </c>
      <c r="C121" t="s">
        <v>360</v>
      </c>
      <c r="D121">
        <v>5209.1729451221054</v>
      </c>
      <c r="E121">
        <v>5209.1717749999998</v>
      </c>
      <c r="F121">
        <v>1.1701221055773199E-3</v>
      </c>
    </row>
    <row r="122" spans="1:6" x14ac:dyDescent="0.3">
      <c r="A122" t="s">
        <v>343</v>
      </c>
      <c r="B122" t="s">
        <v>367</v>
      </c>
      <c r="C122" t="s">
        <v>361</v>
      </c>
      <c r="D122">
        <v>9437.5579451221056</v>
      </c>
      <c r="E122">
        <v>9437.5567750000009</v>
      </c>
      <c r="F122">
        <v>1.1701221046678261E-3</v>
      </c>
    </row>
    <row r="123" spans="1:6" x14ac:dyDescent="0.3">
      <c r="A123" t="s">
        <v>343</v>
      </c>
      <c r="B123" t="s">
        <v>368</v>
      </c>
      <c r="C123" t="s">
        <v>345</v>
      </c>
      <c r="D123">
        <v>636.25643500000001</v>
      </c>
      <c r="E123">
        <v>636.25643500000001</v>
      </c>
      <c r="F123">
        <v>0</v>
      </c>
    </row>
    <row r="124" spans="1:6" x14ac:dyDescent="0.3">
      <c r="A124" t="s">
        <v>343</v>
      </c>
      <c r="B124" t="s">
        <v>368</v>
      </c>
      <c r="C124" t="s">
        <v>346</v>
      </c>
      <c r="D124">
        <v>117434.593985898</v>
      </c>
      <c r="E124">
        <v>117434.593985898</v>
      </c>
      <c r="F124">
        <v>0</v>
      </c>
    </row>
    <row r="125" spans="1:6" x14ac:dyDescent="0.3">
      <c r="A125" t="s">
        <v>343</v>
      </c>
      <c r="B125" t="s">
        <v>368</v>
      </c>
      <c r="C125" t="s">
        <v>347</v>
      </c>
      <c r="D125">
        <v>184.57116899084559</v>
      </c>
      <c r="E125">
        <v>184.57116899084559</v>
      </c>
      <c r="F125">
        <v>0</v>
      </c>
    </row>
    <row r="126" spans="1:6" x14ac:dyDescent="0.3">
      <c r="A126" t="s">
        <v>343</v>
      </c>
      <c r="B126" t="s">
        <v>368</v>
      </c>
      <c r="C126" t="s">
        <v>348</v>
      </c>
      <c r="D126">
        <v>15630.400806554129</v>
      </c>
      <c r="E126">
        <v>15630.3999536625</v>
      </c>
      <c r="F126">
        <v>8.5289162598201074E-4</v>
      </c>
    </row>
    <row r="127" spans="1:6" x14ac:dyDescent="0.3">
      <c r="A127" t="s">
        <v>343</v>
      </c>
      <c r="B127" t="s">
        <v>368</v>
      </c>
      <c r="C127" t="s">
        <v>349</v>
      </c>
      <c r="D127">
        <v>13.30987767406177</v>
      </c>
      <c r="E127">
        <v>13.309876947792279</v>
      </c>
      <c r="F127">
        <v>7.2626948899312538E-7</v>
      </c>
    </row>
    <row r="128" spans="1:6" x14ac:dyDescent="0.3">
      <c r="A128" t="s">
        <v>343</v>
      </c>
      <c r="B128" t="s">
        <v>368</v>
      </c>
      <c r="C128" t="s">
        <v>350</v>
      </c>
      <c r="D128">
        <v>35.500031658258983</v>
      </c>
      <c r="E128">
        <v>35.499999999999993</v>
      </c>
      <c r="F128">
        <v>3.1658258990319148E-5</v>
      </c>
    </row>
    <row r="129" spans="1:6" x14ac:dyDescent="0.3">
      <c r="A129" t="s">
        <v>343</v>
      </c>
      <c r="B129" t="s">
        <v>368</v>
      </c>
      <c r="C129" t="s">
        <v>351</v>
      </c>
      <c r="D129">
        <v>5548.7972346394827</v>
      </c>
      <c r="E129">
        <v>5548.7919835501871</v>
      </c>
      <c r="F129">
        <v>5.2510892955979216E-3</v>
      </c>
    </row>
    <row r="130" spans="1:6" x14ac:dyDescent="0.3">
      <c r="A130" t="s">
        <v>343</v>
      </c>
      <c r="B130" t="s">
        <v>368</v>
      </c>
      <c r="C130" t="s">
        <v>352</v>
      </c>
      <c r="D130">
        <v>1935.731</v>
      </c>
      <c r="E130">
        <v>1935.731</v>
      </c>
      <c r="F130">
        <v>0</v>
      </c>
    </row>
    <row r="131" spans="1:6" x14ac:dyDescent="0.3">
      <c r="A131" t="s">
        <v>343</v>
      </c>
      <c r="B131" t="s">
        <v>368</v>
      </c>
      <c r="C131" t="s">
        <v>353</v>
      </c>
      <c r="D131">
        <v>101.5976052426018</v>
      </c>
      <c r="E131">
        <v>101.59759969880631</v>
      </c>
      <c r="F131">
        <v>5.543795566609333E-6</v>
      </c>
    </row>
    <row r="132" spans="1:6" x14ac:dyDescent="0.3">
      <c r="A132" t="s">
        <v>343</v>
      </c>
      <c r="B132" t="s">
        <v>368</v>
      </c>
      <c r="C132" t="s">
        <v>354</v>
      </c>
      <c r="D132">
        <v>3511.4686293968812</v>
      </c>
      <c r="E132">
        <v>3511.463383851381</v>
      </c>
      <c r="F132">
        <v>5.2455454997470952E-3</v>
      </c>
    </row>
    <row r="133" spans="1:6" x14ac:dyDescent="0.3">
      <c r="A133" t="s">
        <v>343</v>
      </c>
      <c r="B133" t="s">
        <v>368</v>
      </c>
      <c r="C133" t="s">
        <v>355</v>
      </c>
      <c r="D133">
        <v>4027.4686293968812</v>
      </c>
      <c r="E133">
        <v>4027.463383851381</v>
      </c>
      <c r="F133">
        <v>5.2455454997470952E-3</v>
      </c>
    </row>
    <row r="134" spans="1:6" x14ac:dyDescent="0.3">
      <c r="A134" t="s">
        <v>343</v>
      </c>
      <c r="B134" t="s">
        <v>368</v>
      </c>
      <c r="C134" t="s">
        <v>356</v>
      </c>
      <c r="D134">
        <v>724.94435329143846</v>
      </c>
      <c r="E134">
        <v>724.94340909324853</v>
      </c>
      <c r="F134">
        <v>9.4419818992719229E-4</v>
      </c>
    </row>
    <row r="135" spans="1:6" x14ac:dyDescent="0.3">
      <c r="A135" t="s">
        <v>343</v>
      </c>
      <c r="B135" t="s">
        <v>368</v>
      </c>
      <c r="C135" t="s">
        <v>357</v>
      </c>
      <c r="D135">
        <v>3302.5242761054419</v>
      </c>
      <c r="E135">
        <v>3302.5199747581319</v>
      </c>
      <c r="F135">
        <v>4.3013473095925292E-3</v>
      </c>
    </row>
    <row r="136" spans="1:6" x14ac:dyDescent="0.3">
      <c r="A136" t="s">
        <v>343</v>
      </c>
      <c r="B136" t="s">
        <v>368</v>
      </c>
      <c r="C136" t="s">
        <v>358</v>
      </c>
      <c r="D136">
        <v>577.0512116882735</v>
      </c>
      <c r="E136">
        <v>577.05120972724808</v>
      </c>
      <c r="F136">
        <v>1.9610254184954101E-6</v>
      </c>
    </row>
    <row r="137" spans="1:6" x14ac:dyDescent="0.3">
      <c r="A137" t="s">
        <v>343</v>
      </c>
      <c r="B137" t="s">
        <v>368</v>
      </c>
      <c r="C137" t="s">
        <v>359</v>
      </c>
      <c r="D137">
        <v>5.7231043089629372</v>
      </c>
      <c r="E137">
        <v>5.7230968743989257</v>
      </c>
      <c r="F137">
        <v>7.4345640115325304E-6</v>
      </c>
    </row>
    <row r="138" spans="1:6" x14ac:dyDescent="0.3">
      <c r="A138" t="s">
        <v>343</v>
      </c>
      <c r="B138" t="s">
        <v>368</v>
      </c>
      <c r="C138" t="s">
        <v>360</v>
      </c>
      <c r="D138">
        <v>5738.1292039833006</v>
      </c>
      <c r="E138">
        <v>5738.1236627121734</v>
      </c>
      <c r="F138">
        <v>5.5412711280951044E-3</v>
      </c>
    </row>
    <row r="139" spans="1:6" x14ac:dyDescent="0.3">
      <c r="A139" t="s">
        <v>343</v>
      </c>
      <c r="B139" t="s">
        <v>368</v>
      </c>
      <c r="C139" t="s">
        <v>361</v>
      </c>
      <c r="D139">
        <v>10298.181299105399</v>
      </c>
      <c r="E139">
        <v>10298.17458771217</v>
      </c>
      <c r="F139">
        <v>6.7113932345819194E-3</v>
      </c>
    </row>
    <row r="140" spans="1:6" x14ac:dyDescent="0.3">
      <c r="A140" t="s">
        <v>369</v>
      </c>
      <c r="B140" t="s">
        <v>344</v>
      </c>
      <c r="C140" t="s">
        <v>345</v>
      </c>
      <c r="D140">
        <v>148.964</v>
      </c>
      <c r="E140">
        <v>148.964</v>
      </c>
      <c r="F140">
        <v>0</v>
      </c>
    </row>
    <row r="141" spans="1:6" x14ac:dyDescent="0.3">
      <c r="A141" t="s">
        <v>369</v>
      </c>
      <c r="B141" t="s">
        <v>344</v>
      </c>
      <c r="C141" t="s">
        <v>346</v>
      </c>
      <c r="D141">
        <v>26497.194120899989</v>
      </c>
      <c r="E141">
        <v>26497.194120899989</v>
      </c>
      <c r="F141">
        <v>0</v>
      </c>
    </row>
    <row r="142" spans="1:6" x14ac:dyDescent="0.3">
      <c r="A142" t="s">
        <v>369</v>
      </c>
      <c r="B142" t="s">
        <v>344</v>
      </c>
      <c r="C142" t="s">
        <v>347</v>
      </c>
      <c r="D142">
        <v>177.87649446107781</v>
      </c>
      <c r="E142">
        <v>177.87649446107781</v>
      </c>
      <c r="F142">
        <v>0</v>
      </c>
    </row>
    <row r="143" spans="1:6" x14ac:dyDescent="0.3">
      <c r="A143" t="s">
        <v>369</v>
      </c>
      <c r="B143" t="s">
        <v>344</v>
      </c>
      <c r="C143" t="s">
        <v>348</v>
      </c>
      <c r="D143">
        <v>4815.1385058026244</v>
      </c>
      <c r="E143">
        <v>4815.1400000000003</v>
      </c>
      <c r="F143">
        <v>-1.49419737590506E-3</v>
      </c>
    </row>
    <row r="144" spans="1:6" x14ac:dyDescent="0.3">
      <c r="A144" t="s">
        <v>369</v>
      </c>
      <c r="B144" t="s">
        <v>344</v>
      </c>
      <c r="C144" t="s">
        <v>349</v>
      </c>
      <c r="D144">
        <v>18.1722581033764</v>
      </c>
      <c r="E144">
        <v>18.172263742454149</v>
      </c>
      <c r="F144">
        <v>-5.6390777452008933E-6</v>
      </c>
    </row>
    <row r="145" spans="1:6" x14ac:dyDescent="0.3">
      <c r="A145" t="s">
        <v>369</v>
      </c>
      <c r="B145" t="s">
        <v>344</v>
      </c>
      <c r="C145" t="s">
        <v>350</v>
      </c>
      <c r="D145">
        <v>49.985470085470077</v>
      </c>
      <c r="E145">
        <v>49.985470085470077</v>
      </c>
      <c r="F145">
        <v>0</v>
      </c>
    </row>
    <row r="146" spans="1:6" x14ac:dyDescent="0.3">
      <c r="A146" t="s">
        <v>369</v>
      </c>
      <c r="B146" t="s">
        <v>344</v>
      </c>
      <c r="C146" t="s">
        <v>351</v>
      </c>
      <c r="D146">
        <v>2406.869617391922</v>
      </c>
      <c r="E146">
        <v>2406.870364273504</v>
      </c>
      <c r="F146">
        <v>-7.4688158201752231E-4</v>
      </c>
    </row>
    <row r="147" spans="1:6" x14ac:dyDescent="0.3">
      <c r="A147" t="s">
        <v>369</v>
      </c>
      <c r="B147" t="s">
        <v>344</v>
      </c>
      <c r="C147" t="s">
        <v>352</v>
      </c>
      <c r="D147">
        <v>438.9</v>
      </c>
      <c r="E147">
        <v>438.9</v>
      </c>
      <c r="F147">
        <v>0</v>
      </c>
    </row>
    <row r="148" spans="1:6" x14ac:dyDescent="0.3">
      <c r="A148" t="s">
        <v>369</v>
      </c>
      <c r="B148" t="s">
        <v>344</v>
      </c>
      <c r="C148" t="s">
        <v>353</v>
      </c>
      <c r="D148">
        <v>31.298400287717062</v>
      </c>
      <c r="E148">
        <v>31.298410000000001</v>
      </c>
      <c r="F148">
        <v>-9.7122829458839988E-6</v>
      </c>
    </row>
    <row r="149" spans="1:6" x14ac:dyDescent="0.3">
      <c r="A149" t="s">
        <v>369</v>
      </c>
      <c r="B149" t="s">
        <v>344</v>
      </c>
      <c r="C149" t="s">
        <v>354</v>
      </c>
      <c r="D149">
        <v>1936.671217104205</v>
      </c>
      <c r="E149">
        <v>1936.6719542735041</v>
      </c>
      <c r="F149">
        <v>-7.3716929887268634E-4</v>
      </c>
    </row>
    <row r="150" spans="1:6" x14ac:dyDescent="0.3">
      <c r="A150" t="s">
        <v>369</v>
      </c>
      <c r="B150" t="s">
        <v>344</v>
      </c>
      <c r="C150" t="s">
        <v>355</v>
      </c>
      <c r="D150">
        <v>2075.671217104205</v>
      </c>
      <c r="E150">
        <v>2075.6719542735041</v>
      </c>
      <c r="F150">
        <v>-7.3716929864531267E-4</v>
      </c>
    </row>
    <row r="151" spans="1:6" x14ac:dyDescent="0.3">
      <c r="A151" t="s">
        <v>369</v>
      </c>
      <c r="B151" t="s">
        <v>344</v>
      </c>
      <c r="C151" t="s">
        <v>356</v>
      </c>
      <c r="D151">
        <v>373.62081907875688</v>
      </c>
      <c r="E151">
        <v>373.62095176923071</v>
      </c>
      <c r="F151">
        <v>-1.3269047377661991E-4</v>
      </c>
    </row>
    <row r="152" spans="1:6" x14ac:dyDescent="0.3">
      <c r="A152" t="s">
        <v>369</v>
      </c>
      <c r="B152" t="s">
        <v>344</v>
      </c>
      <c r="C152" t="s">
        <v>357</v>
      </c>
      <c r="D152">
        <v>1702.050398025448</v>
      </c>
      <c r="E152">
        <v>1702.0510025042729</v>
      </c>
      <c r="F152">
        <v>-6.0447882492553617E-4</v>
      </c>
    </row>
    <row r="153" spans="1:6" x14ac:dyDescent="0.3">
      <c r="A153" t="s">
        <v>369</v>
      </c>
      <c r="B153" t="s">
        <v>344</v>
      </c>
      <c r="C153" t="s">
        <v>358</v>
      </c>
      <c r="D153">
        <v>592.43042481931957</v>
      </c>
      <c r="E153">
        <v>592.43042481931957</v>
      </c>
      <c r="F153">
        <v>0</v>
      </c>
    </row>
    <row r="154" spans="1:6" x14ac:dyDescent="0.3">
      <c r="A154" t="s">
        <v>369</v>
      </c>
      <c r="B154" t="s">
        <v>344</v>
      </c>
      <c r="C154" t="s">
        <v>359</v>
      </c>
      <c r="D154">
        <v>2.8729962654172301</v>
      </c>
      <c r="E154">
        <v>2.8729972857544701</v>
      </c>
      <c r="F154">
        <v>-1.0203372404760101E-6</v>
      </c>
    </row>
    <row r="155" spans="1:6" x14ac:dyDescent="0.3">
      <c r="A155" t="s">
        <v>369</v>
      </c>
      <c r="B155" t="s">
        <v>344</v>
      </c>
      <c r="C155" t="s">
        <v>360</v>
      </c>
      <c r="D155">
        <v>1684.8087321743451</v>
      </c>
      <c r="E155">
        <v>1684.8092549914529</v>
      </c>
      <c r="F155">
        <v>-5.2281710736679088E-4</v>
      </c>
    </row>
    <row r="156" spans="1:6" x14ac:dyDescent="0.3">
      <c r="A156" t="s">
        <v>369</v>
      </c>
      <c r="B156" t="s">
        <v>344</v>
      </c>
      <c r="C156" t="s">
        <v>361</v>
      </c>
      <c r="D156">
        <v>10074.19373217435</v>
      </c>
      <c r="E156">
        <v>10074.194254991449</v>
      </c>
      <c r="F156">
        <v>-5.2281710668466985E-4</v>
      </c>
    </row>
    <row r="157" spans="1:6" x14ac:dyDescent="0.3">
      <c r="A157" t="s">
        <v>369</v>
      </c>
      <c r="B157" t="s">
        <v>362</v>
      </c>
      <c r="C157" t="s">
        <v>345</v>
      </c>
      <c r="D157">
        <v>134.6995</v>
      </c>
      <c r="E157">
        <v>134.6995</v>
      </c>
      <c r="F157">
        <v>0</v>
      </c>
    </row>
    <row r="158" spans="1:6" x14ac:dyDescent="0.3">
      <c r="A158" t="s">
        <v>369</v>
      </c>
      <c r="B158" t="s">
        <v>362</v>
      </c>
      <c r="C158" t="s">
        <v>346</v>
      </c>
      <c r="D158">
        <v>23125.38696</v>
      </c>
      <c r="E158">
        <v>23125.38696</v>
      </c>
      <c r="F158">
        <v>0</v>
      </c>
    </row>
    <row r="159" spans="1:6" x14ac:dyDescent="0.3">
      <c r="A159" t="s">
        <v>369</v>
      </c>
      <c r="B159" t="s">
        <v>362</v>
      </c>
      <c r="C159" t="s">
        <v>347</v>
      </c>
      <c r="D159">
        <v>171.68131255127159</v>
      </c>
      <c r="E159">
        <v>171.68131255127159</v>
      </c>
      <c r="F159">
        <v>0</v>
      </c>
    </row>
    <row r="160" spans="1:6" x14ac:dyDescent="0.3">
      <c r="A160" t="s">
        <v>369</v>
      </c>
      <c r="B160" t="s">
        <v>362</v>
      </c>
      <c r="C160" t="s">
        <v>348</v>
      </c>
      <c r="D160">
        <v>3130.1628930000002</v>
      </c>
      <c r="E160">
        <v>3130.1628930000002</v>
      </c>
      <c r="F160">
        <v>4.5474735088646412E-13</v>
      </c>
    </row>
    <row r="161" spans="1:6" x14ac:dyDescent="0.3">
      <c r="A161" t="s">
        <v>369</v>
      </c>
      <c r="B161" t="s">
        <v>362</v>
      </c>
      <c r="C161" t="s">
        <v>349</v>
      </c>
      <c r="D161">
        <v>13.53561304039688</v>
      </c>
      <c r="E161">
        <v>13.53561304039688</v>
      </c>
      <c r="F161">
        <v>0</v>
      </c>
    </row>
    <row r="162" spans="1:6" x14ac:dyDescent="0.3">
      <c r="A162" t="s">
        <v>369</v>
      </c>
      <c r="B162" t="s">
        <v>362</v>
      </c>
      <c r="C162" t="s">
        <v>350</v>
      </c>
      <c r="D162">
        <v>30.824636501079912</v>
      </c>
      <c r="E162">
        <v>30.824634882428029</v>
      </c>
      <c r="F162">
        <v>1.618651879198296E-6</v>
      </c>
    </row>
    <row r="163" spans="1:6" x14ac:dyDescent="0.3">
      <c r="A163" t="s">
        <v>369</v>
      </c>
      <c r="B163" t="s">
        <v>362</v>
      </c>
      <c r="C163" t="s">
        <v>351</v>
      </c>
      <c r="D163">
        <v>964.86133365893693</v>
      </c>
      <c r="E163">
        <v>964.8612829924964</v>
      </c>
      <c r="F163">
        <v>5.066644052931224E-5</v>
      </c>
    </row>
    <row r="164" spans="1:6" x14ac:dyDescent="0.3">
      <c r="A164" t="s">
        <v>369</v>
      </c>
      <c r="B164" t="s">
        <v>362</v>
      </c>
      <c r="C164" t="s">
        <v>352</v>
      </c>
      <c r="D164">
        <v>440.00000000000011</v>
      </c>
      <c r="E164">
        <v>440.00000000000011</v>
      </c>
      <c r="F164">
        <v>0</v>
      </c>
    </row>
    <row r="165" spans="1:6" x14ac:dyDescent="0.3">
      <c r="A165" t="s">
        <v>369</v>
      </c>
      <c r="B165" t="s">
        <v>362</v>
      </c>
      <c r="C165" t="s">
        <v>353</v>
      </c>
      <c r="D165">
        <v>20.3460588045</v>
      </c>
      <c r="E165">
        <v>20.3460588045</v>
      </c>
      <c r="F165">
        <v>0</v>
      </c>
    </row>
    <row r="166" spans="1:6" x14ac:dyDescent="0.3">
      <c r="A166" t="s">
        <v>369</v>
      </c>
      <c r="B166" t="s">
        <v>362</v>
      </c>
      <c r="C166" t="s">
        <v>354</v>
      </c>
      <c r="D166">
        <v>504.51527485443688</v>
      </c>
      <c r="E166">
        <v>504.51522418799641</v>
      </c>
      <c r="F166">
        <v>5.066644052931224E-5</v>
      </c>
    </row>
    <row r="167" spans="1:6" x14ac:dyDescent="0.3">
      <c r="A167" t="s">
        <v>369</v>
      </c>
      <c r="B167" t="s">
        <v>362</v>
      </c>
      <c r="C167" t="s">
        <v>355</v>
      </c>
      <c r="D167">
        <v>638.51527485443694</v>
      </c>
      <c r="E167">
        <v>638.51522418799641</v>
      </c>
      <c r="F167">
        <v>5.066644052931224E-5</v>
      </c>
    </row>
    <row r="168" spans="1:6" x14ac:dyDescent="0.3">
      <c r="A168" t="s">
        <v>369</v>
      </c>
      <c r="B168" t="s">
        <v>362</v>
      </c>
      <c r="C168" t="s">
        <v>356</v>
      </c>
      <c r="D168">
        <v>114.93274947379869</v>
      </c>
      <c r="E168">
        <v>114.93274035383941</v>
      </c>
      <c r="F168">
        <v>9.1199592873181246E-6</v>
      </c>
    </row>
    <row r="169" spans="1:6" x14ac:dyDescent="0.3">
      <c r="A169" t="s">
        <v>369</v>
      </c>
      <c r="B169" t="s">
        <v>362</v>
      </c>
      <c r="C169" t="s">
        <v>357</v>
      </c>
      <c r="D169">
        <v>523.58252538063834</v>
      </c>
      <c r="E169">
        <v>523.58248383415707</v>
      </c>
      <c r="F169">
        <v>4.1546481270415818E-5</v>
      </c>
    </row>
    <row r="170" spans="1:6" x14ac:dyDescent="0.3">
      <c r="A170" t="s">
        <v>369</v>
      </c>
      <c r="B170" t="s">
        <v>362</v>
      </c>
      <c r="C170" t="s">
        <v>358</v>
      </c>
      <c r="D170">
        <v>587.93400736452168</v>
      </c>
      <c r="E170">
        <v>587.93400665659192</v>
      </c>
      <c r="F170">
        <v>7.0792975748190656E-7</v>
      </c>
    </row>
    <row r="171" spans="1:6" x14ac:dyDescent="0.3">
      <c r="A171" t="s">
        <v>369</v>
      </c>
      <c r="B171" t="s">
        <v>362</v>
      </c>
      <c r="C171" t="s">
        <v>359</v>
      </c>
      <c r="D171">
        <v>0.89054641987398231</v>
      </c>
      <c r="E171">
        <v>0.89054635028107476</v>
      </c>
      <c r="F171">
        <v>6.9592907547821881E-8</v>
      </c>
    </row>
    <row r="172" spans="1:6" x14ac:dyDescent="0.3">
      <c r="A172" t="s">
        <v>369</v>
      </c>
      <c r="B172" t="s">
        <v>362</v>
      </c>
      <c r="C172" t="s">
        <v>360</v>
      </c>
      <c r="D172">
        <v>675.40293356125585</v>
      </c>
      <c r="E172">
        <v>675.40289809474746</v>
      </c>
      <c r="F172">
        <v>3.5466508393255942E-5</v>
      </c>
    </row>
    <row r="173" spans="1:6" x14ac:dyDescent="0.3">
      <c r="A173" t="s">
        <v>369</v>
      </c>
      <c r="B173" t="s">
        <v>362</v>
      </c>
      <c r="C173" t="s">
        <v>361</v>
      </c>
      <c r="D173">
        <v>9545.5966657356021</v>
      </c>
      <c r="E173">
        <v>9545.5971530862007</v>
      </c>
      <c r="F173">
        <v>-4.8735059863247438E-4</v>
      </c>
    </row>
    <row r="174" spans="1:6" x14ac:dyDescent="0.3">
      <c r="A174" t="s">
        <v>369</v>
      </c>
      <c r="B174" t="s">
        <v>363</v>
      </c>
      <c r="C174" t="s">
        <v>345</v>
      </c>
      <c r="D174">
        <v>171.82</v>
      </c>
      <c r="E174">
        <v>171.82</v>
      </c>
      <c r="F174">
        <v>0</v>
      </c>
    </row>
    <row r="175" spans="1:6" x14ac:dyDescent="0.3">
      <c r="A175" t="s">
        <v>369</v>
      </c>
      <c r="B175" t="s">
        <v>363</v>
      </c>
      <c r="C175" t="s">
        <v>346</v>
      </c>
      <c r="D175">
        <v>32936.595516000009</v>
      </c>
      <c r="E175">
        <v>32936.595516000009</v>
      </c>
      <c r="F175">
        <v>0</v>
      </c>
    </row>
    <row r="176" spans="1:6" x14ac:dyDescent="0.3">
      <c r="A176" t="s">
        <v>369</v>
      </c>
      <c r="B176" t="s">
        <v>363</v>
      </c>
      <c r="C176" t="s">
        <v>347</v>
      </c>
      <c r="D176">
        <v>191.69244276568509</v>
      </c>
      <c r="E176">
        <v>191.69244276568509</v>
      </c>
      <c r="F176">
        <v>0</v>
      </c>
    </row>
    <row r="177" spans="1:6" x14ac:dyDescent="0.3">
      <c r="A177" t="s">
        <v>369</v>
      </c>
      <c r="B177" t="s">
        <v>363</v>
      </c>
      <c r="C177" t="s">
        <v>348</v>
      </c>
      <c r="D177">
        <v>3003.832260000001</v>
      </c>
      <c r="E177">
        <v>3003.832260000001</v>
      </c>
      <c r="F177">
        <v>0</v>
      </c>
    </row>
    <row r="178" spans="1:6" x14ac:dyDescent="0.3">
      <c r="A178" t="s">
        <v>369</v>
      </c>
      <c r="B178" t="s">
        <v>363</v>
      </c>
      <c r="C178" t="s">
        <v>349</v>
      </c>
      <c r="D178">
        <v>9.1200447797975741</v>
      </c>
      <c r="E178">
        <v>9.1200447797975741</v>
      </c>
      <c r="F178">
        <v>0</v>
      </c>
    </row>
    <row r="179" spans="1:6" x14ac:dyDescent="0.3">
      <c r="A179" t="s">
        <v>369</v>
      </c>
      <c r="B179" t="s">
        <v>363</v>
      </c>
      <c r="C179" t="s">
        <v>350</v>
      </c>
      <c r="D179">
        <v>19.372734428678111</v>
      </c>
      <c r="E179">
        <v>19.37270601749568</v>
      </c>
      <c r="F179">
        <v>2.8411182437793059E-5</v>
      </c>
    </row>
    <row r="180" spans="1:6" x14ac:dyDescent="0.3">
      <c r="A180" t="s">
        <v>369</v>
      </c>
      <c r="B180" t="s">
        <v>363</v>
      </c>
      <c r="C180" t="s">
        <v>351</v>
      </c>
      <c r="D180">
        <v>581.92444641276006</v>
      </c>
      <c r="E180">
        <v>581.92359298849658</v>
      </c>
      <c r="F180">
        <v>8.5342426348233857E-4</v>
      </c>
    </row>
    <row r="181" spans="1:6" x14ac:dyDescent="0.3">
      <c r="A181" t="s">
        <v>369</v>
      </c>
      <c r="B181" t="s">
        <v>363</v>
      </c>
      <c r="C181" t="s">
        <v>352</v>
      </c>
      <c r="D181">
        <v>446.9</v>
      </c>
      <c r="E181">
        <v>446.9</v>
      </c>
      <c r="F181">
        <v>0</v>
      </c>
    </row>
    <row r="182" spans="1:6" x14ac:dyDescent="0.3">
      <c r="A182" t="s">
        <v>369</v>
      </c>
      <c r="B182" t="s">
        <v>363</v>
      </c>
      <c r="C182" t="s">
        <v>353</v>
      </c>
      <c r="D182">
        <v>19.524909690000001</v>
      </c>
      <c r="E182">
        <v>19.524909690000001</v>
      </c>
      <c r="F182">
        <v>0</v>
      </c>
    </row>
    <row r="183" spans="1:6" x14ac:dyDescent="0.3">
      <c r="A183" t="s">
        <v>369</v>
      </c>
      <c r="B183" t="s">
        <v>363</v>
      </c>
      <c r="C183" t="s">
        <v>354</v>
      </c>
      <c r="D183">
        <v>115.49953672276</v>
      </c>
      <c r="E183">
        <v>115.4986832984965</v>
      </c>
      <c r="F183">
        <v>8.5342426348233857E-4</v>
      </c>
    </row>
    <row r="184" spans="1:6" x14ac:dyDescent="0.3">
      <c r="A184" t="s">
        <v>369</v>
      </c>
      <c r="B184" t="s">
        <v>363</v>
      </c>
      <c r="C184" t="s">
        <v>355</v>
      </c>
      <c r="D184">
        <v>244.49953672276001</v>
      </c>
      <c r="E184">
        <v>244.4986832984965</v>
      </c>
      <c r="F184">
        <v>8.5342426348233857E-4</v>
      </c>
    </row>
    <row r="185" spans="1:6" x14ac:dyDescent="0.3">
      <c r="A185" t="s">
        <v>369</v>
      </c>
      <c r="B185" t="s">
        <v>363</v>
      </c>
      <c r="C185" t="s">
        <v>356</v>
      </c>
      <c r="D185">
        <v>44.009916610096809</v>
      </c>
      <c r="E185">
        <v>44.009762993729368</v>
      </c>
      <c r="F185">
        <v>1.536163674344948E-4</v>
      </c>
    </row>
    <row r="186" spans="1:6" x14ac:dyDescent="0.3">
      <c r="A186" t="s">
        <v>369</v>
      </c>
      <c r="B186" t="s">
        <v>363</v>
      </c>
      <c r="C186" t="s">
        <v>357</v>
      </c>
      <c r="D186">
        <v>200.4896201126632</v>
      </c>
      <c r="E186">
        <v>200.48892030476719</v>
      </c>
      <c r="F186">
        <v>6.9980789604073834E-4</v>
      </c>
    </row>
    <row r="187" spans="1:6" x14ac:dyDescent="0.3">
      <c r="A187" t="s">
        <v>369</v>
      </c>
      <c r="B187" t="s">
        <v>363</v>
      </c>
      <c r="C187" t="s">
        <v>358</v>
      </c>
      <c r="D187">
        <v>583.50987987332985</v>
      </c>
      <c r="E187">
        <v>583.50987803729583</v>
      </c>
      <c r="F187">
        <v>1.8360340163781071E-6</v>
      </c>
    </row>
    <row r="188" spans="1:6" x14ac:dyDescent="0.3">
      <c r="A188" t="s">
        <v>369</v>
      </c>
      <c r="B188" t="s">
        <v>363</v>
      </c>
      <c r="C188" t="s">
        <v>359</v>
      </c>
      <c r="D188">
        <v>0.34359250293445948</v>
      </c>
      <c r="E188">
        <v>0.34359130470787441</v>
      </c>
      <c r="F188">
        <v>1.1982265851195879E-6</v>
      </c>
    </row>
    <row r="189" spans="1:6" x14ac:dyDescent="0.3">
      <c r="A189" t="s">
        <v>369</v>
      </c>
      <c r="B189" t="s">
        <v>363</v>
      </c>
      <c r="C189" t="s">
        <v>360</v>
      </c>
      <c r="D189">
        <v>1862.1582285208319</v>
      </c>
      <c r="E189">
        <v>1862.1554975631891</v>
      </c>
      <c r="F189">
        <v>2.7309576432799081E-3</v>
      </c>
    </row>
    <row r="190" spans="1:6" x14ac:dyDescent="0.3">
      <c r="A190" t="s">
        <v>369</v>
      </c>
      <c r="B190" t="s">
        <v>363</v>
      </c>
      <c r="C190" t="s">
        <v>361</v>
      </c>
      <c r="D190">
        <v>10201.339894256431</v>
      </c>
      <c r="E190">
        <v>10201.33765064939</v>
      </c>
      <c r="F190">
        <v>2.2436070448748069E-3</v>
      </c>
    </row>
    <row r="191" spans="1:6" x14ac:dyDescent="0.3">
      <c r="A191" t="s">
        <v>369</v>
      </c>
      <c r="B191" t="s">
        <v>364</v>
      </c>
      <c r="C191" t="s">
        <v>345</v>
      </c>
      <c r="D191">
        <v>163.13</v>
      </c>
      <c r="E191">
        <v>163.13</v>
      </c>
      <c r="F191">
        <v>0</v>
      </c>
    </row>
    <row r="192" spans="1:6" x14ac:dyDescent="0.3">
      <c r="A192" t="s">
        <v>369</v>
      </c>
      <c r="B192" t="s">
        <v>364</v>
      </c>
      <c r="C192" t="s">
        <v>346</v>
      </c>
      <c r="D192">
        <v>30870.850999999999</v>
      </c>
      <c r="E192">
        <v>30870.850999999999</v>
      </c>
      <c r="F192">
        <v>0</v>
      </c>
    </row>
    <row r="193" spans="1:6" x14ac:dyDescent="0.3">
      <c r="A193" t="s">
        <v>369</v>
      </c>
      <c r="B193" t="s">
        <v>364</v>
      </c>
      <c r="C193" t="s">
        <v>347</v>
      </c>
      <c r="D193">
        <v>189.24079568442349</v>
      </c>
      <c r="E193">
        <v>189.24079568442349</v>
      </c>
      <c r="F193">
        <v>0</v>
      </c>
    </row>
    <row r="194" spans="1:6" x14ac:dyDescent="0.3">
      <c r="A194" t="s">
        <v>369</v>
      </c>
      <c r="B194" t="s">
        <v>364</v>
      </c>
      <c r="C194" t="s">
        <v>348</v>
      </c>
      <c r="D194">
        <v>4055.1610879999998</v>
      </c>
      <c r="E194">
        <v>4055.1610880000012</v>
      </c>
      <c r="F194">
        <v>-4.5474735088646412E-13</v>
      </c>
    </row>
    <row r="195" spans="1:6" x14ac:dyDescent="0.3">
      <c r="A195" t="s">
        <v>369</v>
      </c>
      <c r="B195" t="s">
        <v>364</v>
      </c>
      <c r="C195" t="s">
        <v>349</v>
      </c>
      <c r="D195">
        <v>13.135890189745661</v>
      </c>
      <c r="E195">
        <v>13.135890189745661</v>
      </c>
      <c r="F195">
        <v>0</v>
      </c>
    </row>
    <row r="196" spans="1:6" x14ac:dyDescent="0.3">
      <c r="A196" t="s">
        <v>369</v>
      </c>
      <c r="B196" t="s">
        <v>364</v>
      </c>
      <c r="C196" t="s">
        <v>350</v>
      </c>
      <c r="D196">
        <v>34.94271086474501</v>
      </c>
      <c r="E196">
        <v>34.942682453562568</v>
      </c>
      <c r="F196">
        <v>2.8411182441345769E-5</v>
      </c>
    </row>
    <row r="197" spans="1:6" x14ac:dyDescent="0.3">
      <c r="A197" t="s">
        <v>369</v>
      </c>
      <c r="B197" t="s">
        <v>364</v>
      </c>
      <c r="C197" t="s">
        <v>351</v>
      </c>
      <c r="D197">
        <v>1416.9832140794881</v>
      </c>
      <c r="E197">
        <v>1416.9820619602731</v>
      </c>
      <c r="F197">
        <v>1.1521192147938559E-3</v>
      </c>
    </row>
    <row r="198" spans="1:6" x14ac:dyDescent="0.3">
      <c r="A198" t="s">
        <v>369</v>
      </c>
      <c r="B198" t="s">
        <v>364</v>
      </c>
      <c r="C198" t="s">
        <v>352</v>
      </c>
      <c r="D198">
        <v>530.83000000000004</v>
      </c>
      <c r="E198">
        <v>530.83000000000004</v>
      </c>
      <c r="F198">
        <v>0</v>
      </c>
    </row>
    <row r="199" spans="1:6" x14ac:dyDescent="0.3">
      <c r="A199" t="s">
        <v>369</v>
      </c>
      <c r="B199" t="s">
        <v>364</v>
      </c>
      <c r="C199" t="s">
        <v>353</v>
      </c>
      <c r="D199">
        <v>26.358547072</v>
      </c>
      <c r="E199">
        <v>26.358547072000011</v>
      </c>
      <c r="F199">
        <v>-7.1054273576010019E-15</v>
      </c>
    </row>
    <row r="200" spans="1:6" x14ac:dyDescent="0.3">
      <c r="A200" t="s">
        <v>369</v>
      </c>
      <c r="B200" t="s">
        <v>364</v>
      </c>
      <c r="C200" t="s">
        <v>354</v>
      </c>
      <c r="D200">
        <v>859.79466700748787</v>
      </c>
      <c r="E200">
        <v>859.79351488827308</v>
      </c>
      <c r="F200">
        <v>1.1521192147938559E-3</v>
      </c>
    </row>
    <row r="201" spans="1:6" x14ac:dyDescent="0.3">
      <c r="A201" t="s">
        <v>369</v>
      </c>
      <c r="B201" t="s">
        <v>364</v>
      </c>
      <c r="C201" t="s">
        <v>355</v>
      </c>
      <c r="D201">
        <v>988.79466700748787</v>
      </c>
      <c r="E201">
        <v>988.79351488827308</v>
      </c>
      <c r="F201">
        <v>1.1521192147938559E-3</v>
      </c>
    </row>
    <row r="202" spans="1:6" x14ac:dyDescent="0.3">
      <c r="A202" t="s">
        <v>369</v>
      </c>
      <c r="B202" t="s">
        <v>364</v>
      </c>
      <c r="C202" t="s">
        <v>356</v>
      </c>
      <c r="D202">
        <v>177.98304006134779</v>
      </c>
      <c r="E202">
        <v>177.98283267988921</v>
      </c>
      <c r="F202">
        <v>2.0738145866516791E-4</v>
      </c>
    </row>
    <row r="203" spans="1:6" x14ac:dyDescent="0.3">
      <c r="A203" t="s">
        <v>369</v>
      </c>
      <c r="B203" t="s">
        <v>364</v>
      </c>
      <c r="C203" t="s">
        <v>357</v>
      </c>
      <c r="D203">
        <v>810.81162694614</v>
      </c>
      <c r="E203">
        <v>810.81068220838392</v>
      </c>
      <c r="F203">
        <v>9.4473775607184507E-4</v>
      </c>
    </row>
    <row r="204" spans="1:6" x14ac:dyDescent="0.3">
      <c r="A204" t="s">
        <v>369</v>
      </c>
      <c r="B204" t="s">
        <v>364</v>
      </c>
      <c r="C204" t="s">
        <v>358</v>
      </c>
      <c r="D204">
        <v>579.15718508840075</v>
      </c>
      <c r="E204">
        <v>579.15718177316921</v>
      </c>
      <c r="F204">
        <v>3.315231538181251E-6</v>
      </c>
    </row>
    <row r="205" spans="1:6" x14ac:dyDescent="0.3">
      <c r="A205" t="s">
        <v>369</v>
      </c>
      <c r="B205" t="s">
        <v>364</v>
      </c>
      <c r="C205" t="s">
        <v>359</v>
      </c>
      <c r="D205">
        <v>1.3999854406060419</v>
      </c>
      <c r="E205">
        <v>1.399983817391292</v>
      </c>
      <c r="F205">
        <v>1.623214750168245E-6</v>
      </c>
    </row>
    <row r="206" spans="1:6" x14ac:dyDescent="0.3">
      <c r="A206" t="s">
        <v>369</v>
      </c>
      <c r="B206" t="s">
        <v>364</v>
      </c>
      <c r="C206" t="s">
        <v>360</v>
      </c>
      <c r="D206">
        <v>1416.9832140794881</v>
      </c>
      <c r="E206">
        <v>1416.9820619602731</v>
      </c>
      <c r="F206">
        <v>1.1521192147938559E-3</v>
      </c>
    </row>
    <row r="207" spans="1:6" x14ac:dyDescent="0.3">
      <c r="A207" t="s">
        <v>369</v>
      </c>
      <c r="B207" t="s">
        <v>364</v>
      </c>
      <c r="C207" t="s">
        <v>361</v>
      </c>
      <c r="D207">
        <v>10382.53260833592</v>
      </c>
      <c r="E207">
        <v>10382.529212609659</v>
      </c>
      <c r="F207">
        <v>3.3957262603507839E-3</v>
      </c>
    </row>
    <row r="208" spans="1:6" x14ac:dyDescent="0.3">
      <c r="A208" t="s">
        <v>369</v>
      </c>
      <c r="B208" t="s">
        <v>365</v>
      </c>
      <c r="C208" t="s">
        <v>345</v>
      </c>
      <c r="D208">
        <v>163.8604</v>
      </c>
      <c r="E208">
        <v>163.8604</v>
      </c>
      <c r="F208">
        <v>0</v>
      </c>
    </row>
    <row r="209" spans="1:6" x14ac:dyDescent="0.3">
      <c r="A209" t="s">
        <v>369</v>
      </c>
      <c r="B209" t="s">
        <v>365</v>
      </c>
      <c r="C209" t="s">
        <v>346</v>
      </c>
      <c r="D209">
        <v>30231.470185552549</v>
      </c>
      <c r="E209">
        <v>30231.470185552549</v>
      </c>
      <c r="F209">
        <v>0</v>
      </c>
    </row>
    <row r="210" spans="1:6" x14ac:dyDescent="0.3">
      <c r="A210" t="s">
        <v>369</v>
      </c>
      <c r="B210" t="s">
        <v>365</v>
      </c>
      <c r="C210" t="s">
        <v>347</v>
      </c>
      <c r="D210">
        <v>184.49527881997449</v>
      </c>
      <c r="E210">
        <v>184.49527881997449</v>
      </c>
      <c r="F210">
        <v>0</v>
      </c>
    </row>
    <row r="211" spans="1:6" x14ac:dyDescent="0.3">
      <c r="A211" t="s">
        <v>369</v>
      </c>
      <c r="B211" t="s">
        <v>365</v>
      </c>
      <c r="C211" t="s">
        <v>348</v>
      </c>
      <c r="D211">
        <v>5422.8186155119274</v>
      </c>
      <c r="E211">
        <v>5422.8202982800012</v>
      </c>
      <c r="F211">
        <v>-1.682768073806074E-3</v>
      </c>
    </row>
    <row r="212" spans="1:6" x14ac:dyDescent="0.3">
      <c r="A212" t="s">
        <v>369</v>
      </c>
      <c r="B212" t="s">
        <v>365</v>
      </c>
      <c r="C212" t="s">
        <v>349</v>
      </c>
      <c r="D212">
        <v>17.937660928258339</v>
      </c>
      <c r="E212">
        <v>17.937666494537659</v>
      </c>
      <c r="F212">
        <v>-5.5662793236876951E-6</v>
      </c>
    </row>
    <row r="213" spans="1:6" x14ac:dyDescent="0.3">
      <c r="A213" t="s">
        <v>369</v>
      </c>
      <c r="B213" t="s">
        <v>365</v>
      </c>
      <c r="C213" t="s">
        <v>350</v>
      </c>
      <c r="D213">
        <v>49.978070085470087</v>
      </c>
      <c r="E213">
        <v>49.978041674287653</v>
      </c>
      <c r="F213">
        <v>2.8411182441345769E-5</v>
      </c>
    </row>
    <row r="214" spans="1:6" x14ac:dyDescent="0.3">
      <c r="A214" t="s">
        <v>369</v>
      </c>
      <c r="B214" t="s">
        <v>365</v>
      </c>
      <c r="C214" t="s">
        <v>351</v>
      </c>
      <c r="D214">
        <v>2710.2200882684701</v>
      </c>
      <c r="E214">
        <v>2710.2193885961092</v>
      </c>
      <c r="F214">
        <v>6.9967236095180851E-4</v>
      </c>
    </row>
    <row r="215" spans="1:6" x14ac:dyDescent="0.3">
      <c r="A215" t="s">
        <v>369</v>
      </c>
      <c r="B215" t="s">
        <v>365</v>
      </c>
      <c r="C215" t="s">
        <v>352</v>
      </c>
      <c r="D215">
        <v>478.40100000000012</v>
      </c>
      <c r="E215">
        <v>478.40100000000012</v>
      </c>
      <c r="F215">
        <v>0</v>
      </c>
    </row>
    <row r="216" spans="1:6" x14ac:dyDescent="0.3">
      <c r="A216" t="s">
        <v>369</v>
      </c>
      <c r="B216" t="s">
        <v>365</v>
      </c>
      <c r="C216" t="s">
        <v>353</v>
      </c>
      <c r="D216">
        <v>35.248321000827531</v>
      </c>
      <c r="E216">
        <v>35.248331938820009</v>
      </c>
      <c r="F216">
        <v>-1.093799247797733E-5</v>
      </c>
    </row>
    <row r="217" spans="1:6" x14ac:dyDescent="0.3">
      <c r="A217" t="s">
        <v>369</v>
      </c>
      <c r="B217" t="s">
        <v>365</v>
      </c>
      <c r="C217" t="s">
        <v>354</v>
      </c>
      <c r="D217">
        <v>2196.5707672676422</v>
      </c>
      <c r="E217">
        <v>2196.5700566572891</v>
      </c>
      <c r="F217">
        <v>7.106103530531982E-4</v>
      </c>
    </row>
    <row r="218" spans="1:6" x14ac:dyDescent="0.3">
      <c r="A218" t="s">
        <v>369</v>
      </c>
      <c r="B218" t="s">
        <v>365</v>
      </c>
      <c r="C218" t="s">
        <v>355</v>
      </c>
      <c r="D218">
        <v>2325.5707672676422</v>
      </c>
      <c r="E218">
        <v>2325.5700566572891</v>
      </c>
      <c r="F218">
        <v>7.106103530531982E-4</v>
      </c>
    </row>
    <row r="219" spans="1:6" x14ac:dyDescent="0.3">
      <c r="A219" t="s">
        <v>369</v>
      </c>
      <c r="B219" t="s">
        <v>365</v>
      </c>
      <c r="C219" t="s">
        <v>356</v>
      </c>
      <c r="D219">
        <v>418.60273810817557</v>
      </c>
      <c r="E219">
        <v>418.60261019831188</v>
      </c>
      <c r="F219">
        <v>1.279098636359777E-4</v>
      </c>
    </row>
    <row r="220" spans="1:6" x14ac:dyDescent="0.3">
      <c r="A220" t="s">
        <v>369</v>
      </c>
      <c r="B220" t="s">
        <v>365</v>
      </c>
      <c r="C220" t="s">
        <v>357</v>
      </c>
      <c r="D220">
        <v>1906.9680291594659</v>
      </c>
      <c r="E220">
        <v>1906.9674464589771</v>
      </c>
      <c r="F220">
        <v>5.8270048953090736E-4</v>
      </c>
    </row>
    <row r="221" spans="1:6" x14ac:dyDescent="0.3">
      <c r="A221" t="s">
        <v>369</v>
      </c>
      <c r="B221" t="s">
        <v>365</v>
      </c>
      <c r="C221" t="s">
        <v>358</v>
      </c>
      <c r="D221">
        <v>574.87507270420133</v>
      </c>
      <c r="E221">
        <v>574.87507084023775</v>
      </c>
      <c r="F221">
        <v>1.863963575488015E-6</v>
      </c>
    </row>
    <row r="222" spans="1:6" x14ac:dyDescent="0.3">
      <c r="A222" t="s">
        <v>369</v>
      </c>
      <c r="B222" t="s">
        <v>365</v>
      </c>
      <c r="C222" t="s">
        <v>359</v>
      </c>
      <c r="D222">
        <v>3.3171868458117779</v>
      </c>
      <c r="E222">
        <v>3.3171858429549781</v>
      </c>
      <c r="F222">
        <v>1.002856800269569E-6</v>
      </c>
    </row>
    <row r="223" spans="1:6" x14ac:dyDescent="0.3">
      <c r="A223" t="s">
        <v>369</v>
      </c>
      <c r="B223" t="s">
        <v>365</v>
      </c>
      <c r="C223" t="s">
        <v>360</v>
      </c>
      <c r="D223">
        <v>1897.1540617879291</v>
      </c>
      <c r="E223">
        <v>1897.153572017276</v>
      </c>
      <c r="F223">
        <v>4.8977065262079122E-4</v>
      </c>
    </row>
    <row r="224" spans="1:6" x14ac:dyDescent="0.3">
      <c r="A224" t="s">
        <v>369</v>
      </c>
      <c r="B224" t="s">
        <v>365</v>
      </c>
      <c r="C224" t="s">
        <v>361</v>
      </c>
      <c r="D224">
        <v>11062.24632012385</v>
      </c>
      <c r="E224">
        <v>11062.24243462694</v>
      </c>
      <c r="F224">
        <v>3.8854969134263229E-3</v>
      </c>
    </row>
    <row r="225" spans="1:6" x14ac:dyDescent="0.3">
      <c r="A225" t="s">
        <v>369</v>
      </c>
      <c r="B225" t="s">
        <v>366</v>
      </c>
      <c r="C225" t="s">
        <v>345</v>
      </c>
      <c r="D225">
        <v>148.16945000000001</v>
      </c>
      <c r="E225">
        <v>148.16945000000001</v>
      </c>
      <c r="F225">
        <v>0</v>
      </c>
    </row>
    <row r="226" spans="1:6" x14ac:dyDescent="0.3">
      <c r="A226" t="s">
        <v>369</v>
      </c>
      <c r="B226" t="s">
        <v>366</v>
      </c>
      <c r="C226" t="s">
        <v>346</v>
      </c>
      <c r="D226">
        <v>26201.063425680011</v>
      </c>
      <c r="E226">
        <v>26201.063425680011</v>
      </c>
      <c r="F226">
        <v>0</v>
      </c>
    </row>
    <row r="227" spans="1:6" x14ac:dyDescent="0.3">
      <c r="A227" t="s">
        <v>369</v>
      </c>
      <c r="B227" t="s">
        <v>366</v>
      </c>
      <c r="C227" t="s">
        <v>347</v>
      </c>
      <c r="D227">
        <v>176.83175192780971</v>
      </c>
      <c r="E227">
        <v>176.83175192780971</v>
      </c>
      <c r="F227">
        <v>0</v>
      </c>
    </row>
    <row r="228" spans="1:6" x14ac:dyDescent="0.3">
      <c r="A228" t="s">
        <v>369</v>
      </c>
      <c r="B228" t="s">
        <v>366</v>
      </c>
      <c r="C228" t="s">
        <v>348</v>
      </c>
      <c r="D228">
        <v>3542.9280832112308</v>
      </c>
      <c r="E228">
        <v>3542.9280832112308</v>
      </c>
      <c r="F228">
        <v>0</v>
      </c>
    </row>
    <row r="229" spans="1:6" x14ac:dyDescent="0.3">
      <c r="A229" t="s">
        <v>369</v>
      </c>
      <c r="B229" t="s">
        <v>366</v>
      </c>
      <c r="C229" t="s">
        <v>349</v>
      </c>
      <c r="D229">
        <v>13.52207742735648</v>
      </c>
      <c r="E229">
        <v>13.52207742735648</v>
      </c>
      <c r="F229">
        <v>0</v>
      </c>
    </row>
    <row r="230" spans="1:6" x14ac:dyDescent="0.3">
      <c r="A230" t="s">
        <v>369</v>
      </c>
      <c r="B230" t="s">
        <v>366</v>
      </c>
      <c r="C230" t="s">
        <v>350</v>
      </c>
      <c r="D230">
        <v>30.817236501079911</v>
      </c>
      <c r="E230">
        <v>30.817206471245591</v>
      </c>
      <c r="F230">
        <v>3.0029834316991358E-5</v>
      </c>
    </row>
    <row r="231" spans="1:6" x14ac:dyDescent="0.3">
      <c r="A231" t="s">
        <v>369</v>
      </c>
      <c r="B231" t="s">
        <v>366</v>
      </c>
      <c r="C231" t="s">
        <v>351</v>
      </c>
      <c r="D231">
        <v>1091.832526466382</v>
      </c>
      <c r="E231">
        <v>1091.831462530949</v>
      </c>
      <c r="F231">
        <v>1.063935433421648E-3</v>
      </c>
    </row>
    <row r="232" spans="1:6" x14ac:dyDescent="0.3">
      <c r="A232" t="s">
        <v>369</v>
      </c>
      <c r="B232" t="s">
        <v>366</v>
      </c>
      <c r="C232" t="s">
        <v>352</v>
      </c>
      <c r="D232">
        <v>479.60000000000008</v>
      </c>
      <c r="E232">
        <v>479.60000000000008</v>
      </c>
      <c r="F232">
        <v>0</v>
      </c>
    </row>
    <row r="233" spans="1:6" x14ac:dyDescent="0.3">
      <c r="A233" t="s">
        <v>369</v>
      </c>
      <c r="B233" t="s">
        <v>366</v>
      </c>
      <c r="C233" t="s">
        <v>353</v>
      </c>
      <c r="D233">
        <v>23.029032540873001</v>
      </c>
      <c r="E233">
        <v>23.029032540873001</v>
      </c>
      <c r="F233">
        <v>0</v>
      </c>
    </row>
    <row r="234" spans="1:6" x14ac:dyDescent="0.3">
      <c r="A234" t="s">
        <v>369</v>
      </c>
      <c r="B234" t="s">
        <v>366</v>
      </c>
      <c r="C234" t="s">
        <v>354</v>
      </c>
      <c r="D234">
        <v>589.20349392550929</v>
      </c>
      <c r="E234">
        <v>589.20242999007587</v>
      </c>
      <c r="F234">
        <v>1.063935433421648E-3</v>
      </c>
    </row>
    <row r="235" spans="1:6" x14ac:dyDescent="0.3">
      <c r="A235" t="s">
        <v>369</v>
      </c>
      <c r="B235" t="s">
        <v>366</v>
      </c>
      <c r="C235" t="s">
        <v>355</v>
      </c>
      <c r="D235">
        <v>718.20349392550929</v>
      </c>
      <c r="E235">
        <v>718.20242999007587</v>
      </c>
      <c r="F235">
        <v>1.063935433421648E-3</v>
      </c>
    </row>
    <row r="236" spans="1:6" x14ac:dyDescent="0.3">
      <c r="A236" t="s">
        <v>369</v>
      </c>
      <c r="B236" t="s">
        <v>366</v>
      </c>
      <c r="C236" t="s">
        <v>356</v>
      </c>
      <c r="D236">
        <v>129.2766289065917</v>
      </c>
      <c r="E236">
        <v>129.27643739821369</v>
      </c>
      <c r="F236">
        <v>1.9150837800907541E-4</v>
      </c>
    </row>
    <row r="237" spans="1:6" x14ac:dyDescent="0.3">
      <c r="A237" t="s">
        <v>369</v>
      </c>
      <c r="B237" t="s">
        <v>366</v>
      </c>
      <c r="C237" t="s">
        <v>357</v>
      </c>
      <c r="D237">
        <v>588.92686501891762</v>
      </c>
      <c r="E237">
        <v>588.92599259186227</v>
      </c>
      <c r="F237">
        <v>8.7242705535572895E-4</v>
      </c>
    </row>
    <row r="238" spans="1:6" x14ac:dyDescent="0.3">
      <c r="A238" t="s">
        <v>369</v>
      </c>
      <c r="B238" t="s">
        <v>366</v>
      </c>
      <c r="C238" t="s">
        <v>358</v>
      </c>
      <c r="D238">
        <v>570.66270908716194</v>
      </c>
      <c r="E238">
        <v>570.66270825828974</v>
      </c>
      <c r="F238">
        <v>8.2887220287375385E-7</v>
      </c>
    </row>
    <row r="239" spans="1:6" x14ac:dyDescent="0.3">
      <c r="A239" t="s">
        <v>369</v>
      </c>
      <c r="B239" t="s">
        <v>366</v>
      </c>
      <c r="C239" t="s">
        <v>359</v>
      </c>
      <c r="D239">
        <v>1.032005168098282</v>
      </c>
      <c r="E239">
        <v>1.032003640800909</v>
      </c>
      <c r="F239">
        <v>1.5272973725721779E-6</v>
      </c>
    </row>
    <row r="240" spans="1:6" x14ac:dyDescent="0.3">
      <c r="A240" t="s">
        <v>369</v>
      </c>
      <c r="B240" t="s">
        <v>366</v>
      </c>
      <c r="C240" t="s">
        <v>360</v>
      </c>
      <c r="D240">
        <v>764.28276852646763</v>
      </c>
      <c r="E240">
        <v>764.28202377166429</v>
      </c>
      <c r="F240">
        <v>7.447548033496787E-4</v>
      </c>
    </row>
    <row r="241" spans="1:6" x14ac:dyDescent="0.3">
      <c r="A241" t="s">
        <v>369</v>
      </c>
      <c r="B241" t="s">
        <v>366</v>
      </c>
      <c r="C241" t="s">
        <v>361</v>
      </c>
      <c r="D241">
        <v>10608.66908865032</v>
      </c>
      <c r="E241">
        <v>10608.6644583986</v>
      </c>
      <c r="F241">
        <v>4.6302517166623147E-3</v>
      </c>
    </row>
    <row r="242" spans="1:6" x14ac:dyDescent="0.3">
      <c r="A242" t="s">
        <v>369</v>
      </c>
      <c r="B242" t="s">
        <v>367</v>
      </c>
      <c r="C242" t="s">
        <v>345</v>
      </c>
      <c r="D242">
        <v>588.1635</v>
      </c>
      <c r="E242">
        <v>588.1635</v>
      </c>
      <c r="F242">
        <v>0</v>
      </c>
    </row>
    <row r="243" spans="1:6" x14ac:dyDescent="0.3">
      <c r="A243" t="s">
        <v>369</v>
      </c>
      <c r="B243" t="s">
        <v>367</v>
      </c>
      <c r="C243" t="s">
        <v>346</v>
      </c>
      <c r="D243">
        <v>106056.5810809</v>
      </c>
      <c r="E243">
        <v>106056.5810809</v>
      </c>
      <c r="F243">
        <v>0</v>
      </c>
    </row>
    <row r="244" spans="1:6" x14ac:dyDescent="0.3">
      <c r="A244" t="s">
        <v>369</v>
      </c>
      <c r="B244" t="s">
        <v>367</v>
      </c>
      <c r="C244" t="s">
        <v>347</v>
      </c>
      <c r="D244">
        <v>180.31819567331189</v>
      </c>
      <c r="E244">
        <v>180.31819567331189</v>
      </c>
      <c r="F244">
        <v>0</v>
      </c>
    </row>
    <row r="245" spans="1:6" x14ac:dyDescent="0.3">
      <c r="A245" t="s">
        <v>369</v>
      </c>
      <c r="B245" t="s">
        <v>367</v>
      </c>
      <c r="C245" t="s">
        <v>348</v>
      </c>
      <c r="D245">
        <v>14231.301398802631</v>
      </c>
      <c r="E245">
        <v>14231.302893</v>
      </c>
      <c r="F245">
        <v>-1.494197374995565E-3</v>
      </c>
    </row>
    <row r="246" spans="1:6" x14ac:dyDescent="0.3">
      <c r="A246" t="s">
        <v>369</v>
      </c>
      <c r="B246" t="s">
        <v>367</v>
      </c>
      <c r="C246" t="s">
        <v>349</v>
      </c>
      <c r="D246">
        <v>13.418593409066229</v>
      </c>
      <c r="E246">
        <v>13.418594817934361</v>
      </c>
      <c r="F246">
        <v>-1.4088681332680151E-6</v>
      </c>
    </row>
    <row r="247" spans="1:6" x14ac:dyDescent="0.3">
      <c r="A247" t="s">
        <v>369</v>
      </c>
      <c r="B247" t="s">
        <v>367</v>
      </c>
      <c r="C247" t="s">
        <v>350</v>
      </c>
      <c r="D247">
        <v>36.199998908633248</v>
      </c>
      <c r="E247">
        <v>36.200000000000003</v>
      </c>
      <c r="F247">
        <v>-1.0913667551903929E-6</v>
      </c>
    </row>
    <row r="248" spans="1:6" x14ac:dyDescent="0.3">
      <c r="A248" t="s">
        <v>369</v>
      </c>
      <c r="B248" t="s">
        <v>367</v>
      </c>
      <c r="C248" t="s">
        <v>351</v>
      </c>
      <c r="D248">
        <v>5151.7309510508576</v>
      </c>
      <c r="E248">
        <v>5151.7316472660004</v>
      </c>
      <c r="F248">
        <v>-6.9621514194295742E-4</v>
      </c>
    </row>
    <row r="249" spans="1:6" x14ac:dyDescent="0.3">
      <c r="A249" t="s">
        <v>369</v>
      </c>
      <c r="B249" t="s">
        <v>367</v>
      </c>
      <c r="C249" t="s">
        <v>352</v>
      </c>
      <c r="D249">
        <v>1775.9</v>
      </c>
      <c r="E249">
        <v>1775.9</v>
      </c>
      <c r="F249">
        <v>0</v>
      </c>
    </row>
    <row r="250" spans="1:6" x14ac:dyDescent="0.3">
      <c r="A250" t="s">
        <v>369</v>
      </c>
      <c r="B250" t="s">
        <v>367</v>
      </c>
      <c r="C250" t="s">
        <v>353</v>
      </c>
      <c r="D250">
        <v>90.644459092217062</v>
      </c>
      <c r="E250">
        <v>90.644468804500008</v>
      </c>
      <c r="F250">
        <v>-9.7122829458839988E-6</v>
      </c>
    </row>
    <row r="251" spans="1:6" x14ac:dyDescent="0.3">
      <c r="A251" t="s">
        <v>369</v>
      </c>
      <c r="B251" t="s">
        <v>367</v>
      </c>
      <c r="C251" t="s">
        <v>354</v>
      </c>
      <c r="D251">
        <v>3351.1864919586419</v>
      </c>
      <c r="E251">
        <v>3351.1871784615</v>
      </c>
      <c r="F251">
        <v>-6.8650285811600043E-4</v>
      </c>
    </row>
    <row r="252" spans="1:6" x14ac:dyDescent="0.3">
      <c r="A252" t="s">
        <v>369</v>
      </c>
      <c r="B252" t="s">
        <v>367</v>
      </c>
      <c r="C252" t="s">
        <v>355</v>
      </c>
      <c r="D252">
        <v>3892.1864919586419</v>
      </c>
      <c r="E252">
        <v>3892.1871784615</v>
      </c>
      <c r="F252">
        <v>-6.8650285811600043E-4</v>
      </c>
    </row>
    <row r="253" spans="1:6" x14ac:dyDescent="0.3">
      <c r="A253" t="s">
        <v>369</v>
      </c>
      <c r="B253" t="s">
        <v>367</v>
      </c>
      <c r="C253" t="s">
        <v>356</v>
      </c>
      <c r="D253">
        <v>690.55356855255559</v>
      </c>
      <c r="E253">
        <v>690.55369212307005</v>
      </c>
      <c r="F253">
        <v>-1.235705144608801E-4</v>
      </c>
    </row>
    <row r="254" spans="1:6" x14ac:dyDescent="0.3">
      <c r="A254" t="s">
        <v>369</v>
      </c>
      <c r="B254" t="s">
        <v>367</v>
      </c>
      <c r="C254" t="s">
        <v>357</v>
      </c>
      <c r="D254">
        <v>3201.6329234060859</v>
      </c>
      <c r="E254">
        <v>3201.63348633843</v>
      </c>
      <c r="F254">
        <v>-5.6293234365512035E-4</v>
      </c>
    </row>
    <row r="255" spans="1:6" x14ac:dyDescent="0.3">
      <c r="A255" t="s">
        <v>369</v>
      </c>
      <c r="B255" t="s">
        <v>367</v>
      </c>
      <c r="C255" t="s">
        <v>358</v>
      </c>
      <c r="D255">
        <v>596.34110804596025</v>
      </c>
      <c r="E255">
        <v>596.34110786897782</v>
      </c>
      <c r="F255">
        <v>1.7698243937047659E-7</v>
      </c>
    </row>
    <row r="256" spans="1:6" x14ac:dyDescent="0.3">
      <c r="A256" t="s">
        <v>369</v>
      </c>
      <c r="B256" t="s">
        <v>367</v>
      </c>
      <c r="C256" t="s">
        <v>359</v>
      </c>
      <c r="D256">
        <v>5.3687946046465322</v>
      </c>
      <c r="E256">
        <v>5.3687955502169764</v>
      </c>
      <c r="F256">
        <v>-9.4557044416632152E-7</v>
      </c>
    </row>
    <row r="257" spans="1:6" x14ac:dyDescent="0.3">
      <c r="A257" t="s">
        <v>369</v>
      </c>
      <c r="B257" t="s">
        <v>367</v>
      </c>
      <c r="C257" t="s">
        <v>360</v>
      </c>
      <c r="D257">
        <v>5317.2116657356009</v>
      </c>
      <c r="E257">
        <v>5317.2121530861996</v>
      </c>
      <c r="F257">
        <v>-4.8735059954196908E-4</v>
      </c>
    </row>
    <row r="258" spans="1:6" x14ac:dyDescent="0.3">
      <c r="A258" t="s">
        <v>369</v>
      </c>
      <c r="B258" t="s">
        <v>367</v>
      </c>
      <c r="C258" t="s">
        <v>361</v>
      </c>
      <c r="D258">
        <v>9545.5966657356021</v>
      </c>
      <c r="E258">
        <v>9545.5971530862007</v>
      </c>
      <c r="F258">
        <v>-4.8735059863247438E-4</v>
      </c>
    </row>
    <row r="259" spans="1:6" x14ac:dyDescent="0.3">
      <c r="A259" t="s">
        <v>369</v>
      </c>
      <c r="B259" t="s">
        <v>368</v>
      </c>
      <c r="C259" t="s">
        <v>345</v>
      </c>
      <c r="D259">
        <v>646.97985000000006</v>
      </c>
      <c r="E259">
        <v>646.97985000000006</v>
      </c>
      <c r="F259">
        <v>0</v>
      </c>
    </row>
    <row r="260" spans="1:6" x14ac:dyDescent="0.3">
      <c r="A260" t="s">
        <v>369</v>
      </c>
      <c r="B260" t="s">
        <v>368</v>
      </c>
      <c r="C260" t="s">
        <v>346</v>
      </c>
      <c r="D260">
        <v>120239.9801272326</v>
      </c>
      <c r="E260">
        <v>120239.9801272326</v>
      </c>
      <c r="F260">
        <v>0</v>
      </c>
    </row>
    <row r="261" spans="1:6" x14ac:dyDescent="0.3">
      <c r="A261" t="s">
        <v>369</v>
      </c>
      <c r="B261" t="s">
        <v>368</v>
      </c>
      <c r="C261" t="s">
        <v>347</v>
      </c>
      <c r="D261">
        <v>185.84810659440561</v>
      </c>
      <c r="E261">
        <v>185.84810659440561</v>
      </c>
      <c r="F261">
        <v>0</v>
      </c>
    </row>
    <row r="262" spans="1:6" x14ac:dyDescent="0.3">
      <c r="A262" t="s">
        <v>369</v>
      </c>
      <c r="B262" t="s">
        <v>368</v>
      </c>
      <c r="C262" t="s">
        <v>348</v>
      </c>
      <c r="D262">
        <v>16024.74004672316</v>
      </c>
      <c r="E262">
        <v>16024.74172949123</v>
      </c>
      <c r="F262">
        <v>-1.682768073806074E-3</v>
      </c>
    </row>
    <row r="263" spans="1:6" x14ac:dyDescent="0.3">
      <c r="A263" t="s">
        <v>369</v>
      </c>
      <c r="B263" t="s">
        <v>368</v>
      </c>
      <c r="C263" t="s">
        <v>349</v>
      </c>
      <c r="D263">
        <v>13.327297650720251</v>
      </c>
      <c r="E263">
        <v>13.32729905022819</v>
      </c>
      <c r="F263">
        <v>-1.399507942423384E-6</v>
      </c>
    </row>
    <row r="264" spans="1:6" x14ac:dyDescent="0.3">
      <c r="A264" t="s">
        <v>369</v>
      </c>
      <c r="B264" t="s">
        <v>368</v>
      </c>
      <c r="C264" t="s">
        <v>350</v>
      </c>
      <c r="D264">
        <v>36.200027322211177</v>
      </c>
      <c r="E264">
        <v>36.200000000000003</v>
      </c>
      <c r="F264">
        <v>2.7322211174407581E-5</v>
      </c>
    </row>
    <row r="265" spans="1:6" x14ac:dyDescent="0.3">
      <c r="A265" t="s">
        <v>369</v>
      </c>
      <c r="B265" t="s">
        <v>368</v>
      </c>
      <c r="C265" t="s">
        <v>351</v>
      </c>
      <c r="D265">
        <v>5800.9602752271003</v>
      </c>
      <c r="E265">
        <v>5800.9565060758277</v>
      </c>
      <c r="F265">
        <v>3.7691512725359639E-3</v>
      </c>
    </row>
    <row r="266" spans="1:6" x14ac:dyDescent="0.3">
      <c r="A266" t="s">
        <v>369</v>
      </c>
      <c r="B266" t="s">
        <v>368</v>
      </c>
      <c r="C266" t="s">
        <v>352</v>
      </c>
      <c r="D266">
        <v>1935.731</v>
      </c>
      <c r="E266">
        <v>1935.731</v>
      </c>
      <c r="F266">
        <v>0</v>
      </c>
    </row>
    <row r="267" spans="1:6" x14ac:dyDescent="0.3">
      <c r="A267" t="s">
        <v>369</v>
      </c>
      <c r="B267" t="s">
        <v>368</v>
      </c>
      <c r="C267" t="s">
        <v>353</v>
      </c>
      <c r="D267">
        <v>104.1608103037005</v>
      </c>
      <c r="E267">
        <v>104.160821241693</v>
      </c>
      <c r="F267">
        <v>-1.0937992485082759E-5</v>
      </c>
    </row>
    <row r="268" spans="1:6" x14ac:dyDescent="0.3">
      <c r="A268" t="s">
        <v>369</v>
      </c>
      <c r="B268" t="s">
        <v>368</v>
      </c>
      <c r="C268" t="s">
        <v>354</v>
      </c>
      <c r="D268">
        <v>3761.068464923399</v>
      </c>
      <c r="E268">
        <v>3761.0646848341339</v>
      </c>
      <c r="F268">
        <v>3.7800892646373541E-3</v>
      </c>
    </row>
    <row r="269" spans="1:6" x14ac:dyDescent="0.3">
      <c r="A269" t="s">
        <v>369</v>
      </c>
      <c r="B269" t="s">
        <v>368</v>
      </c>
      <c r="C269" t="s">
        <v>355</v>
      </c>
      <c r="D269">
        <v>4277.068464923399</v>
      </c>
      <c r="E269">
        <v>4277.0646848341339</v>
      </c>
      <c r="F269">
        <v>3.780089265092101E-3</v>
      </c>
    </row>
    <row r="270" spans="1:6" x14ac:dyDescent="0.3">
      <c r="A270" t="s">
        <v>369</v>
      </c>
      <c r="B270" t="s">
        <v>368</v>
      </c>
      <c r="C270" t="s">
        <v>356</v>
      </c>
      <c r="D270">
        <v>769.87232368621187</v>
      </c>
      <c r="E270">
        <v>769.87164327014409</v>
      </c>
      <c r="F270">
        <v>6.8041606778024288E-4</v>
      </c>
    </row>
    <row r="271" spans="1:6" x14ac:dyDescent="0.3">
      <c r="A271" t="s">
        <v>369</v>
      </c>
      <c r="B271" t="s">
        <v>368</v>
      </c>
      <c r="C271" t="s">
        <v>357</v>
      </c>
      <c r="D271">
        <v>3507.196141237187</v>
      </c>
      <c r="E271">
        <v>3507.1930415639899</v>
      </c>
      <c r="F271">
        <v>3.0996731975392322E-3</v>
      </c>
    </row>
    <row r="272" spans="1:6" x14ac:dyDescent="0.3">
      <c r="A272" t="s">
        <v>369</v>
      </c>
      <c r="B272" t="s">
        <v>368</v>
      </c>
      <c r="C272" t="s">
        <v>358</v>
      </c>
      <c r="D272">
        <v>577.0512116882735</v>
      </c>
      <c r="E272">
        <v>577.05120972724808</v>
      </c>
      <c r="F272">
        <v>1.9610254184954101E-6</v>
      </c>
    </row>
    <row r="273" spans="1:6" x14ac:dyDescent="0.3">
      <c r="A273" t="s">
        <v>369</v>
      </c>
      <c r="B273" t="s">
        <v>368</v>
      </c>
      <c r="C273" t="s">
        <v>359</v>
      </c>
      <c r="D273">
        <v>6.0777900993851404</v>
      </c>
      <c r="E273">
        <v>6.0777847484657688</v>
      </c>
      <c r="F273">
        <v>5.3509193715939318E-6</v>
      </c>
    </row>
    <row r="274" spans="1:6" x14ac:dyDescent="0.3">
      <c r="A274" t="s">
        <v>369</v>
      </c>
      <c r="B274" t="s">
        <v>368</v>
      </c>
      <c r="C274" t="s">
        <v>360</v>
      </c>
      <c r="D274">
        <v>5940.5782729147159</v>
      </c>
      <c r="E274">
        <v>5940.5731553124024</v>
      </c>
      <c r="F274">
        <v>5.1176023134757997E-3</v>
      </c>
    </row>
    <row r="275" spans="1:6" x14ac:dyDescent="0.3">
      <c r="A275" t="s">
        <v>369</v>
      </c>
      <c r="B275" t="s">
        <v>368</v>
      </c>
      <c r="C275" t="s">
        <v>361</v>
      </c>
      <c r="D275">
        <v>10608.66908865032</v>
      </c>
      <c r="E275">
        <v>10608.6644583986</v>
      </c>
      <c r="F275">
        <v>4.6302517166623147E-3</v>
      </c>
    </row>
    <row r="276" spans="1:6" x14ac:dyDescent="0.3">
      <c r="A276" t="s">
        <v>370</v>
      </c>
      <c r="B276" t="s">
        <v>344</v>
      </c>
      <c r="C276" t="s">
        <v>345</v>
      </c>
      <c r="D276">
        <v>150.30000000000001</v>
      </c>
      <c r="E276">
        <v>150.30000000000001</v>
      </c>
      <c r="F276">
        <v>0</v>
      </c>
    </row>
    <row r="277" spans="1:6" x14ac:dyDescent="0.3">
      <c r="A277" t="s">
        <v>370</v>
      </c>
      <c r="B277" t="s">
        <v>344</v>
      </c>
      <c r="C277" t="s">
        <v>346</v>
      </c>
      <c r="D277">
        <v>26863.99092</v>
      </c>
      <c r="E277">
        <v>26863.99092</v>
      </c>
      <c r="F277">
        <v>0</v>
      </c>
    </row>
    <row r="278" spans="1:6" x14ac:dyDescent="0.3">
      <c r="A278" t="s">
        <v>370</v>
      </c>
      <c r="B278" t="s">
        <v>344</v>
      </c>
      <c r="C278" t="s">
        <v>347</v>
      </c>
      <c r="D278">
        <v>178.73580119760479</v>
      </c>
      <c r="E278">
        <v>178.73580119760479</v>
      </c>
      <c r="F278">
        <v>0</v>
      </c>
    </row>
    <row r="279" spans="1:6" x14ac:dyDescent="0.3">
      <c r="A279" t="s">
        <v>370</v>
      </c>
      <c r="B279" t="s">
        <v>344</v>
      </c>
      <c r="C279" t="s">
        <v>348</v>
      </c>
      <c r="D279">
        <v>4882.1818499999999</v>
      </c>
      <c r="E279">
        <v>4882.181849999999</v>
      </c>
      <c r="F279">
        <v>9.0949470177292824E-13</v>
      </c>
    </row>
    <row r="280" spans="1:6" x14ac:dyDescent="0.3">
      <c r="A280" t="s">
        <v>370</v>
      </c>
      <c r="B280" t="s">
        <v>344</v>
      </c>
      <c r="C280" t="s">
        <v>349</v>
      </c>
      <c r="D280">
        <v>18.173702725477249</v>
      </c>
      <c r="E280">
        <v>18.173702725477241</v>
      </c>
      <c r="F280">
        <v>3.5527136788005009E-15</v>
      </c>
    </row>
    <row r="281" spans="1:6" x14ac:dyDescent="0.3">
      <c r="A281" t="s">
        <v>370</v>
      </c>
      <c r="B281" t="s">
        <v>344</v>
      </c>
      <c r="C281" t="s">
        <v>350</v>
      </c>
      <c r="D281">
        <v>50.385470085470082</v>
      </c>
      <c r="E281">
        <v>50.385470085470082</v>
      </c>
      <c r="F281">
        <v>0</v>
      </c>
    </row>
    <row r="282" spans="1:6" x14ac:dyDescent="0.3">
      <c r="A282" t="s">
        <v>370</v>
      </c>
      <c r="B282" t="s">
        <v>344</v>
      </c>
      <c r="C282" t="s">
        <v>351</v>
      </c>
      <c r="D282">
        <v>2459.9102755499998</v>
      </c>
      <c r="E282">
        <v>2459.9102755499989</v>
      </c>
      <c r="F282">
        <v>4.5474735088646412E-13</v>
      </c>
    </row>
    <row r="283" spans="1:6" x14ac:dyDescent="0.3">
      <c r="A283" t="s">
        <v>370</v>
      </c>
      <c r="B283" t="s">
        <v>344</v>
      </c>
      <c r="C283" t="s">
        <v>352</v>
      </c>
      <c r="D283">
        <v>438.9</v>
      </c>
      <c r="E283">
        <v>438.9</v>
      </c>
      <c r="F283">
        <v>0</v>
      </c>
    </row>
    <row r="284" spans="1:6" x14ac:dyDescent="0.3">
      <c r="A284" t="s">
        <v>370</v>
      </c>
      <c r="B284" t="s">
        <v>344</v>
      </c>
      <c r="C284" t="s">
        <v>353</v>
      </c>
      <c r="D284">
        <v>31.734182024999999</v>
      </c>
      <c r="E284">
        <v>31.734182024999999</v>
      </c>
      <c r="F284">
        <v>3.5527136788005009E-15</v>
      </c>
    </row>
    <row r="285" spans="1:6" x14ac:dyDescent="0.3">
      <c r="A285" t="s">
        <v>370</v>
      </c>
      <c r="B285" t="s">
        <v>344</v>
      </c>
      <c r="C285" t="s">
        <v>354</v>
      </c>
      <c r="D285">
        <v>1989.2760935250001</v>
      </c>
      <c r="E285">
        <v>1989.2760935249989</v>
      </c>
      <c r="F285">
        <v>2.2737367544323211E-13</v>
      </c>
    </row>
    <row r="286" spans="1:6" x14ac:dyDescent="0.3">
      <c r="A286" t="s">
        <v>370</v>
      </c>
      <c r="B286" t="s">
        <v>344</v>
      </c>
      <c r="C286" t="s">
        <v>355</v>
      </c>
      <c r="D286">
        <v>2128.2760935249999</v>
      </c>
      <c r="E286">
        <v>2128.2760935249989</v>
      </c>
      <c r="F286">
        <v>4.5474735088646412E-13</v>
      </c>
    </row>
    <row r="287" spans="1:6" x14ac:dyDescent="0.3">
      <c r="A287" t="s">
        <v>370</v>
      </c>
      <c r="B287" t="s">
        <v>344</v>
      </c>
      <c r="C287" t="s">
        <v>356</v>
      </c>
      <c r="D287">
        <v>383.08969683449999</v>
      </c>
      <c r="E287">
        <v>383.08969683449988</v>
      </c>
      <c r="F287">
        <v>5.6843418860808009E-14</v>
      </c>
    </row>
    <row r="288" spans="1:6" x14ac:dyDescent="0.3">
      <c r="A288" t="s">
        <v>370</v>
      </c>
      <c r="B288" t="s">
        <v>344</v>
      </c>
      <c r="C288" t="s">
        <v>357</v>
      </c>
      <c r="D288">
        <v>1745.1863966905</v>
      </c>
      <c r="E288">
        <v>1745.1863966904989</v>
      </c>
      <c r="F288">
        <v>4.5474735088646412E-13</v>
      </c>
    </row>
    <row r="289" spans="1:6" x14ac:dyDescent="0.3">
      <c r="A289" t="s">
        <v>370</v>
      </c>
      <c r="B289" t="s">
        <v>344</v>
      </c>
      <c r="C289" t="s">
        <v>358</v>
      </c>
      <c r="D289">
        <v>592.43042481931957</v>
      </c>
      <c r="E289">
        <v>592.43042481931957</v>
      </c>
      <c r="F289">
        <v>0</v>
      </c>
    </row>
    <row r="290" spans="1:6" x14ac:dyDescent="0.3">
      <c r="A290" t="s">
        <v>370</v>
      </c>
      <c r="B290" t="s">
        <v>344</v>
      </c>
      <c r="C290" t="s">
        <v>359</v>
      </c>
      <c r="D290">
        <v>2.9458081887383649</v>
      </c>
      <c r="E290">
        <v>2.945808188738364</v>
      </c>
      <c r="F290">
        <v>8.8817841970012523E-16</v>
      </c>
    </row>
    <row r="291" spans="1:6" x14ac:dyDescent="0.3">
      <c r="A291" t="s">
        <v>370</v>
      </c>
      <c r="B291" t="s">
        <v>344</v>
      </c>
      <c r="C291" t="s">
        <v>360</v>
      </c>
      <c r="D291">
        <v>1721.9371928850001</v>
      </c>
      <c r="E291">
        <v>1721.9371928849989</v>
      </c>
      <c r="F291">
        <v>4.5474735088646412E-13</v>
      </c>
    </row>
    <row r="292" spans="1:6" x14ac:dyDescent="0.3">
      <c r="A292" t="s">
        <v>370</v>
      </c>
      <c r="B292" t="s">
        <v>344</v>
      </c>
      <c r="C292" t="s">
        <v>361</v>
      </c>
      <c r="D292">
        <v>10111.322192885</v>
      </c>
      <c r="E292">
        <v>10111.322192885</v>
      </c>
      <c r="F292">
        <v>0</v>
      </c>
    </row>
    <row r="293" spans="1:6" x14ac:dyDescent="0.3">
      <c r="A293" t="s">
        <v>370</v>
      </c>
      <c r="B293" t="s">
        <v>362</v>
      </c>
      <c r="C293" t="s">
        <v>345</v>
      </c>
      <c r="D293">
        <v>136.52799999999999</v>
      </c>
      <c r="E293">
        <v>136.52799999999999</v>
      </c>
      <c r="F293">
        <v>0</v>
      </c>
    </row>
    <row r="294" spans="1:6" x14ac:dyDescent="0.3">
      <c r="A294" t="s">
        <v>370</v>
      </c>
      <c r="B294" t="s">
        <v>362</v>
      </c>
      <c r="C294" t="s">
        <v>346</v>
      </c>
      <c r="D294">
        <v>23553.08928</v>
      </c>
      <c r="E294">
        <v>23553.08928</v>
      </c>
      <c r="F294">
        <v>0</v>
      </c>
    </row>
    <row r="295" spans="1:6" x14ac:dyDescent="0.3">
      <c r="A295" t="s">
        <v>370</v>
      </c>
      <c r="B295" t="s">
        <v>362</v>
      </c>
      <c r="C295" t="s">
        <v>347</v>
      </c>
      <c r="D295">
        <v>172.51471698113201</v>
      </c>
      <c r="E295">
        <v>172.51471698113201</v>
      </c>
      <c r="F295">
        <v>0</v>
      </c>
    </row>
    <row r="296" spans="1:6" x14ac:dyDescent="0.3">
      <c r="A296" t="s">
        <v>370</v>
      </c>
      <c r="B296" t="s">
        <v>362</v>
      </c>
      <c r="C296" t="s">
        <v>348</v>
      </c>
      <c r="D296">
        <v>3188.0550239999998</v>
      </c>
      <c r="E296">
        <v>3188.0550239999998</v>
      </c>
      <c r="F296">
        <v>0</v>
      </c>
    </row>
    <row r="297" spans="1:6" x14ac:dyDescent="0.3">
      <c r="A297" t="s">
        <v>370</v>
      </c>
      <c r="B297" t="s">
        <v>362</v>
      </c>
      <c r="C297" t="s">
        <v>349</v>
      </c>
      <c r="D297">
        <v>13.53561304039688</v>
      </c>
      <c r="E297">
        <v>13.53561304039688</v>
      </c>
      <c r="F297">
        <v>0</v>
      </c>
    </row>
    <row r="298" spans="1:6" x14ac:dyDescent="0.3">
      <c r="A298" t="s">
        <v>370</v>
      </c>
      <c r="B298" t="s">
        <v>362</v>
      </c>
      <c r="C298" t="s">
        <v>350</v>
      </c>
      <c r="D298">
        <v>31.370736501079911</v>
      </c>
      <c r="E298">
        <v>31.370731556733649</v>
      </c>
      <c r="F298">
        <v>4.9443462657450246E-6</v>
      </c>
    </row>
    <row r="299" spans="1:6" x14ac:dyDescent="0.3">
      <c r="A299" t="s">
        <v>370</v>
      </c>
      <c r="B299" t="s">
        <v>362</v>
      </c>
      <c r="C299" t="s">
        <v>351</v>
      </c>
      <c r="D299">
        <v>1000.11634108848</v>
      </c>
      <c r="E299">
        <v>1000.11618346</v>
      </c>
      <c r="F299">
        <v>1.5762847954192691E-4</v>
      </c>
    </row>
    <row r="300" spans="1:6" x14ac:dyDescent="0.3">
      <c r="A300" t="s">
        <v>370</v>
      </c>
      <c r="B300" t="s">
        <v>362</v>
      </c>
      <c r="C300" t="s">
        <v>352</v>
      </c>
      <c r="D300">
        <v>440.00000000000011</v>
      </c>
      <c r="E300">
        <v>440.00000000000011</v>
      </c>
      <c r="F300">
        <v>0</v>
      </c>
    </row>
    <row r="301" spans="1:6" x14ac:dyDescent="0.3">
      <c r="A301" t="s">
        <v>370</v>
      </c>
      <c r="B301" t="s">
        <v>362</v>
      </c>
      <c r="C301" t="s">
        <v>353</v>
      </c>
      <c r="D301">
        <v>20.722357656</v>
      </c>
      <c r="E301">
        <v>20.722357656</v>
      </c>
      <c r="F301">
        <v>0</v>
      </c>
    </row>
    <row r="302" spans="1:6" x14ac:dyDescent="0.3">
      <c r="A302" t="s">
        <v>370</v>
      </c>
      <c r="B302" t="s">
        <v>362</v>
      </c>
      <c r="C302" t="s">
        <v>354</v>
      </c>
      <c r="D302">
        <v>539.39398343247967</v>
      </c>
      <c r="E302">
        <v>539.39382580400024</v>
      </c>
      <c r="F302">
        <v>1.576284794282401E-4</v>
      </c>
    </row>
    <row r="303" spans="1:6" x14ac:dyDescent="0.3">
      <c r="A303" t="s">
        <v>370</v>
      </c>
      <c r="B303" t="s">
        <v>362</v>
      </c>
      <c r="C303" t="s">
        <v>355</v>
      </c>
      <c r="D303">
        <v>673.39398343247967</v>
      </c>
      <c r="E303">
        <v>673.39382580400024</v>
      </c>
      <c r="F303">
        <v>1.576284794282401E-4</v>
      </c>
    </row>
    <row r="304" spans="1:6" x14ac:dyDescent="0.3">
      <c r="A304" t="s">
        <v>370</v>
      </c>
      <c r="B304" t="s">
        <v>362</v>
      </c>
      <c r="C304" t="s">
        <v>356</v>
      </c>
      <c r="D304">
        <v>121.2109170178463</v>
      </c>
      <c r="E304">
        <v>121.21088864472</v>
      </c>
      <c r="F304">
        <v>2.8373126298220089E-5</v>
      </c>
    </row>
    <row r="305" spans="1:6" x14ac:dyDescent="0.3">
      <c r="A305" t="s">
        <v>370</v>
      </c>
      <c r="B305" t="s">
        <v>362</v>
      </c>
      <c r="C305" t="s">
        <v>357</v>
      </c>
      <c r="D305">
        <v>552.18306641463334</v>
      </c>
      <c r="E305">
        <v>552.18293715928019</v>
      </c>
      <c r="F305">
        <v>1.2925535315844169E-4</v>
      </c>
    </row>
    <row r="306" spans="1:6" x14ac:dyDescent="0.3">
      <c r="A306" t="s">
        <v>370</v>
      </c>
      <c r="B306" t="s">
        <v>362</v>
      </c>
      <c r="C306" t="s">
        <v>358</v>
      </c>
      <c r="D306">
        <v>587.93400736452168</v>
      </c>
      <c r="E306">
        <v>587.93400665659192</v>
      </c>
      <c r="F306">
        <v>7.0792975748190656E-7</v>
      </c>
    </row>
    <row r="307" spans="1:6" x14ac:dyDescent="0.3">
      <c r="A307" t="s">
        <v>370</v>
      </c>
      <c r="B307" t="s">
        <v>362</v>
      </c>
      <c r="C307" t="s">
        <v>359</v>
      </c>
      <c r="D307">
        <v>0.93919225541970974</v>
      </c>
      <c r="E307">
        <v>0.93919203670388529</v>
      </c>
      <c r="F307">
        <v>2.18715824451543E-7</v>
      </c>
    </row>
    <row r="308" spans="1:6" x14ac:dyDescent="0.3">
      <c r="A308" t="s">
        <v>370</v>
      </c>
      <c r="B308" t="s">
        <v>362</v>
      </c>
      <c r="C308" t="s">
        <v>360</v>
      </c>
      <c r="D308">
        <v>700.08143876193583</v>
      </c>
      <c r="E308">
        <v>700.08132842200007</v>
      </c>
      <c r="F308">
        <v>1.103399357589296E-4</v>
      </c>
    </row>
    <row r="309" spans="1:6" x14ac:dyDescent="0.3">
      <c r="A309" t="s">
        <v>370</v>
      </c>
      <c r="B309" t="s">
        <v>362</v>
      </c>
      <c r="C309" t="s">
        <v>361</v>
      </c>
      <c r="D309">
        <v>9607.4036316469355</v>
      </c>
      <c r="E309">
        <v>9607.4035213070001</v>
      </c>
      <c r="F309">
        <v>1.103399354178691E-4</v>
      </c>
    </row>
    <row r="310" spans="1:6" x14ac:dyDescent="0.3">
      <c r="A310" t="s">
        <v>370</v>
      </c>
      <c r="B310" t="s">
        <v>363</v>
      </c>
      <c r="C310" t="s">
        <v>345</v>
      </c>
      <c r="D310">
        <v>174.94399999999999</v>
      </c>
      <c r="E310">
        <v>174.94399999999999</v>
      </c>
      <c r="F310">
        <v>0</v>
      </c>
    </row>
    <row r="311" spans="1:6" x14ac:dyDescent="0.3">
      <c r="A311" t="s">
        <v>370</v>
      </c>
      <c r="B311" t="s">
        <v>363</v>
      </c>
      <c r="C311" t="s">
        <v>346</v>
      </c>
      <c r="D311">
        <v>33535.442707200003</v>
      </c>
      <c r="E311">
        <v>33535.442707200003</v>
      </c>
      <c r="F311">
        <v>0</v>
      </c>
    </row>
    <row r="312" spans="1:6" x14ac:dyDescent="0.3">
      <c r="A312" t="s">
        <v>370</v>
      </c>
      <c r="B312" t="s">
        <v>363</v>
      </c>
      <c r="C312" t="s">
        <v>347</v>
      </c>
      <c r="D312">
        <v>191.692442765685</v>
      </c>
      <c r="E312">
        <v>191.692442765685</v>
      </c>
      <c r="F312">
        <v>0</v>
      </c>
    </row>
    <row r="313" spans="1:6" x14ac:dyDescent="0.3">
      <c r="A313" t="s">
        <v>370</v>
      </c>
      <c r="B313" t="s">
        <v>363</v>
      </c>
      <c r="C313" t="s">
        <v>348</v>
      </c>
      <c r="D313">
        <v>3120.00250744</v>
      </c>
      <c r="E313">
        <v>3120.00250744</v>
      </c>
      <c r="F313">
        <v>0</v>
      </c>
    </row>
    <row r="314" spans="1:6" x14ac:dyDescent="0.3">
      <c r="A314" t="s">
        <v>370</v>
      </c>
      <c r="B314" t="s">
        <v>363</v>
      </c>
      <c r="C314" t="s">
        <v>349</v>
      </c>
      <c r="D314">
        <v>9.3035971961990551</v>
      </c>
      <c r="E314">
        <v>9.3035971961990551</v>
      </c>
      <c r="F314">
        <v>0</v>
      </c>
    </row>
    <row r="315" spans="1:6" x14ac:dyDescent="0.3">
      <c r="A315" t="s">
        <v>370</v>
      </c>
      <c r="B315" t="s">
        <v>363</v>
      </c>
      <c r="C315" t="s">
        <v>350</v>
      </c>
      <c r="D315">
        <v>19.872234428678119</v>
      </c>
      <c r="E315">
        <v>19.872267560317219</v>
      </c>
      <c r="F315">
        <v>-3.3131639099792658E-5</v>
      </c>
    </row>
    <row r="316" spans="1:6" x14ac:dyDescent="0.3">
      <c r="A316" t="s">
        <v>370</v>
      </c>
      <c r="B316" t="s">
        <v>363</v>
      </c>
      <c r="C316" t="s">
        <v>351</v>
      </c>
      <c r="D316">
        <v>620.01421245911217</v>
      </c>
      <c r="E316">
        <v>620.01524616708286</v>
      </c>
      <c r="F316">
        <v>-1.033707970691466E-3</v>
      </c>
    </row>
    <row r="317" spans="1:6" x14ac:dyDescent="0.3">
      <c r="A317" t="s">
        <v>370</v>
      </c>
      <c r="B317" t="s">
        <v>363</v>
      </c>
      <c r="C317" t="s">
        <v>352</v>
      </c>
      <c r="D317">
        <v>442.8</v>
      </c>
      <c r="E317">
        <v>442.8</v>
      </c>
      <c r="F317">
        <v>0</v>
      </c>
    </row>
    <row r="318" spans="1:6" x14ac:dyDescent="0.3">
      <c r="A318" t="s">
        <v>370</v>
      </c>
      <c r="B318" t="s">
        <v>363</v>
      </c>
      <c r="C318" t="s">
        <v>353</v>
      </c>
      <c r="D318">
        <v>20.28001629836</v>
      </c>
      <c r="E318">
        <v>20.28001629836</v>
      </c>
      <c r="F318">
        <v>0</v>
      </c>
    </row>
    <row r="319" spans="1:6" x14ac:dyDescent="0.3">
      <c r="A319" t="s">
        <v>370</v>
      </c>
      <c r="B319" t="s">
        <v>363</v>
      </c>
      <c r="C319" t="s">
        <v>354</v>
      </c>
      <c r="D319">
        <v>156.93419616075221</v>
      </c>
      <c r="E319">
        <v>156.93522986872279</v>
      </c>
      <c r="F319">
        <v>-1.033707970691466E-3</v>
      </c>
    </row>
    <row r="320" spans="1:6" x14ac:dyDescent="0.3">
      <c r="A320" t="s">
        <v>370</v>
      </c>
      <c r="B320" t="s">
        <v>363</v>
      </c>
      <c r="C320" t="s">
        <v>355</v>
      </c>
      <c r="D320">
        <v>285.93419616075221</v>
      </c>
      <c r="E320">
        <v>285.93522986872279</v>
      </c>
      <c r="F320">
        <v>-1.033707970691466E-3</v>
      </c>
    </row>
    <row r="321" spans="1:6" x14ac:dyDescent="0.3">
      <c r="A321" t="s">
        <v>370</v>
      </c>
      <c r="B321" t="s">
        <v>363</v>
      </c>
      <c r="C321" t="s">
        <v>356</v>
      </c>
      <c r="D321">
        <v>51.468155308935387</v>
      </c>
      <c r="E321">
        <v>51.468341376370113</v>
      </c>
      <c r="F321">
        <v>-1.8606743471849541E-4</v>
      </c>
    </row>
    <row r="322" spans="1:6" x14ac:dyDescent="0.3">
      <c r="A322" t="s">
        <v>370</v>
      </c>
      <c r="B322" t="s">
        <v>363</v>
      </c>
      <c r="C322" t="s">
        <v>357</v>
      </c>
      <c r="D322">
        <v>234.46604085181681</v>
      </c>
      <c r="E322">
        <v>234.46688849235269</v>
      </c>
      <c r="F322">
        <v>-8.4764053596586564E-4</v>
      </c>
    </row>
    <row r="323" spans="1:6" x14ac:dyDescent="0.3">
      <c r="A323" t="s">
        <v>370</v>
      </c>
      <c r="B323" t="s">
        <v>363</v>
      </c>
      <c r="C323" t="s">
        <v>358</v>
      </c>
      <c r="D323">
        <v>583.50987987332985</v>
      </c>
      <c r="E323">
        <v>583.50987803729583</v>
      </c>
      <c r="F323">
        <v>1.8360340163781071E-6</v>
      </c>
    </row>
    <row r="324" spans="1:6" x14ac:dyDescent="0.3">
      <c r="A324" t="s">
        <v>370</v>
      </c>
      <c r="B324" t="s">
        <v>363</v>
      </c>
      <c r="C324" t="s">
        <v>359</v>
      </c>
      <c r="D324">
        <v>0.40182017295528122</v>
      </c>
      <c r="E324">
        <v>0.40182162687803968</v>
      </c>
      <c r="F324">
        <v>-1.453922758465342E-6</v>
      </c>
    </row>
    <row r="325" spans="1:6" x14ac:dyDescent="0.3">
      <c r="A325" t="s">
        <v>370</v>
      </c>
      <c r="B325" t="s">
        <v>363</v>
      </c>
      <c r="C325" t="s">
        <v>360</v>
      </c>
      <c r="D325">
        <v>1984.045479869159</v>
      </c>
      <c r="E325">
        <v>1984.048787734665</v>
      </c>
      <c r="F325">
        <v>-3.307865506258167E-3</v>
      </c>
    </row>
    <row r="326" spans="1:6" x14ac:dyDescent="0.3">
      <c r="A326" t="s">
        <v>370</v>
      </c>
      <c r="B326" t="s">
        <v>363</v>
      </c>
      <c r="C326" t="s">
        <v>361</v>
      </c>
      <c r="D326">
        <v>10386.469111516089</v>
      </c>
      <c r="E326">
        <v>10386.47230904167</v>
      </c>
      <c r="F326">
        <v>-3.1975255715224189E-3</v>
      </c>
    </row>
    <row r="327" spans="1:6" x14ac:dyDescent="0.3">
      <c r="A327" t="s">
        <v>370</v>
      </c>
      <c r="B327" t="s">
        <v>364</v>
      </c>
      <c r="C327" t="s">
        <v>345</v>
      </c>
      <c r="D327">
        <v>166.096</v>
      </c>
      <c r="E327">
        <v>166.096</v>
      </c>
      <c r="F327">
        <v>0</v>
      </c>
    </row>
    <row r="328" spans="1:6" x14ac:dyDescent="0.3">
      <c r="A328" t="s">
        <v>370</v>
      </c>
      <c r="B328" t="s">
        <v>364</v>
      </c>
      <c r="C328" t="s">
        <v>346</v>
      </c>
      <c r="D328">
        <v>31432.139200000009</v>
      </c>
      <c r="E328">
        <v>31432.139200000009</v>
      </c>
      <c r="F328">
        <v>0</v>
      </c>
    </row>
    <row r="329" spans="1:6" x14ac:dyDescent="0.3">
      <c r="A329" t="s">
        <v>370</v>
      </c>
      <c r="B329" t="s">
        <v>364</v>
      </c>
      <c r="C329" t="s">
        <v>347</v>
      </c>
      <c r="D329">
        <v>189.24079568442349</v>
      </c>
      <c r="E329">
        <v>189.24079568442349</v>
      </c>
      <c r="F329">
        <v>0</v>
      </c>
    </row>
    <row r="330" spans="1:6" x14ac:dyDescent="0.3">
      <c r="A330" t="s">
        <v>370</v>
      </c>
      <c r="B330" t="s">
        <v>364</v>
      </c>
      <c r="C330" t="s">
        <v>348</v>
      </c>
      <c r="D330">
        <v>4211.9477671040004</v>
      </c>
      <c r="E330">
        <v>4211.9477671040004</v>
      </c>
      <c r="F330">
        <v>0</v>
      </c>
    </row>
    <row r="331" spans="1:6" x14ac:dyDescent="0.3">
      <c r="A331" t="s">
        <v>370</v>
      </c>
      <c r="B331" t="s">
        <v>364</v>
      </c>
      <c r="C331" t="s">
        <v>349</v>
      </c>
      <c r="D331">
        <v>13.4001308033912</v>
      </c>
      <c r="E331">
        <v>13.4001308033912</v>
      </c>
      <c r="F331">
        <v>0</v>
      </c>
    </row>
    <row r="332" spans="1:6" x14ac:dyDescent="0.3">
      <c r="A332" t="s">
        <v>370</v>
      </c>
      <c r="B332" t="s">
        <v>364</v>
      </c>
      <c r="C332" t="s">
        <v>350</v>
      </c>
      <c r="D332">
        <v>35.442210864745007</v>
      </c>
      <c r="E332">
        <v>35.442243996384107</v>
      </c>
      <c r="F332">
        <v>-3.3131639099792658E-5</v>
      </c>
    </row>
    <row r="333" spans="1:6" x14ac:dyDescent="0.3">
      <c r="A333" t="s">
        <v>370</v>
      </c>
      <c r="B333" t="s">
        <v>364</v>
      </c>
      <c r="C333" t="s">
        <v>351</v>
      </c>
      <c r="D333">
        <v>1492.8074091299191</v>
      </c>
      <c r="E333">
        <v>1492.808804617252</v>
      </c>
      <c r="F333">
        <v>-1.3954873334114379E-3</v>
      </c>
    </row>
    <row r="334" spans="1:6" x14ac:dyDescent="0.3">
      <c r="A334" t="s">
        <v>370</v>
      </c>
      <c r="B334" t="s">
        <v>364</v>
      </c>
      <c r="C334" t="s">
        <v>352</v>
      </c>
      <c r="D334">
        <v>525.96</v>
      </c>
      <c r="E334">
        <v>525.96</v>
      </c>
      <c r="F334">
        <v>0</v>
      </c>
    </row>
    <row r="335" spans="1:6" x14ac:dyDescent="0.3">
      <c r="A335" t="s">
        <v>370</v>
      </c>
      <c r="B335" t="s">
        <v>364</v>
      </c>
      <c r="C335" t="s">
        <v>353</v>
      </c>
      <c r="D335">
        <v>27.377660486176001</v>
      </c>
      <c r="E335">
        <v>27.377660486176001</v>
      </c>
      <c r="F335">
        <v>0</v>
      </c>
    </row>
    <row r="336" spans="1:6" x14ac:dyDescent="0.3">
      <c r="A336" t="s">
        <v>370</v>
      </c>
      <c r="B336" t="s">
        <v>364</v>
      </c>
      <c r="C336" t="s">
        <v>354</v>
      </c>
      <c r="D336">
        <v>939.46974864374261</v>
      </c>
      <c r="E336">
        <v>939.47114413107602</v>
      </c>
      <c r="F336">
        <v>-1.3954873334114379E-3</v>
      </c>
    </row>
    <row r="337" spans="1:6" x14ac:dyDescent="0.3">
      <c r="A337" t="s">
        <v>370</v>
      </c>
      <c r="B337" t="s">
        <v>364</v>
      </c>
      <c r="C337" t="s">
        <v>355</v>
      </c>
      <c r="D337">
        <v>1068.4697486437431</v>
      </c>
      <c r="E337">
        <v>1068.471144131076</v>
      </c>
      <c r="F337">
        <v>-1.3954873334114379E-3</v>
      </c>
    </row>
    <row r="338" spans="1:6" x14ac:dyDescent="0.3">
      <c r="A338" t="s">
        <v>370</v>
      </c>
      <c r="B338" t="s">
        <v>364</v>
      </c>
      <c r="C338" t="s">
        <v>356</v>
      </c>
      <c r="D338">
        <v>192.32455475587369</v>
      </c>
      <c r="E338">
        <v>192.3248059435937</v>
      </c>
      <c r="F338">
        <v>-2.5118771998222661E-4</v>
      </c>
    </row>
    <row r="339" spans="1:6" x14ac:dyDescent="0.3">
      <c r="A339" t="s">
        <v>370</v>
      </c>
      <c r="B339" t="s">
        <v>364</v>
      </c>
      <c r="C339" t="s">
        <v>357</v>
      </c>
      <c r="D339">
        <v>876.14519388786891</v>
      </c>
      <c r="E339">
        <v>876.14633818748234</v>
      </c>
      <c r="F339">
        <v>-1.144299613429212E-3</v>
      </c>
    </row>
    <row r="340" spans="1:6" x14ac:dyDescent="0.3">
      <c r="A340" t="s">
        <v>370</v>
      </c>
      <c r="B340" t="s">
        <v>364</v>
      </c>
      <c r="C340" t="s">
        <v>358</v>
      </c>
      <c r="D340">
        <v>579.15718508840075</v>
      </c>
      <c r="E340">
        <v>579.15718177316921</v>
      </c>
      <c r="F340">
        <v>3.315231538181251E-6</v>
      </c>
    </row>
    <row r="341" spans="1:6" x14ac:dyDescent="0.3">
      <c r="A341" t="s">
        <v>370</v>
      </c>
      <c r="B341" t="s">
        <v>364</v>
      </c>
      <c r="C341" t="s">
        <v>359</v>
      </c>
      <c r="D341">
        <v>1.5127934461421499</v>
      </c>
      <c r="E341">
        <v>1.512795430603209</v>
      </c>
      <c r="F341">
        <v>-1.9844610585906248E-6</v>
      </c>
    </row>
    <row r="342" spans="1:6" x14ac:dyDescent="0.3">
      <c r="A342" t="s">
        <v>370</v>
      </c>
      <c r="B342" t="s">
        <v>364</v>
      </c>
      <c r="C342" t="s">
        <v>360</v>
      </c>
      <c r="D342">
        <v>1492.8074091299191</v>
      </c>
      <c r="E342">
        <v>1492.808804617252</v>
      </c>
      <c r="F342">
        <v>-1.3954873334114379E-3</v>
      </c>
    </row>
    <row r="343" spans="1:6" x14ac:dyDescent="0.3">
      <c r="A343" t="s">
        <v>370</v>
      </c>
      <c r="B343" t="s">
        <v>364</v>
      </c>
      <c r="C343" t="s">
        <v>361</v>
      </c>
      <c r="D343">
        <v>10645.190520646011</v>
      </c>
      <c r="E343">
        <v>10645.19511365892</v>
      </c>
      <c r="F343">
        <v>-4.5930129053886048E-3</v>
      </c>
    </row>
    <row r="344" spans="1:6" x14ac:dyDescent="0.3">
      <c r="A344" t="s">
        <v>370</v>
      </c>
      <c r="B344" t="s">
        <v>365</v>
      </c>
      <c r="C344" t="s">
        <v>345</v>
      </c>
      <c r="D344">
        <v>168.33600000000001</v>
      </c>
      <c r="E344">
        <v>168.33600000000001</v>
      </c>
      <c r="F344">
        <v>0</v>
      </c>
    </row>
    <row r="345" spans="1:6" x14ac:dyDescent="0.3">
      <c r="A345" t="s">
        <v>370</v>
      </c>
      <c r="B345" t="s">
        <v>365</v>
      </c>
      <c r="C345" t="s">
        <v>346</v>
      </c>
      <c r="D345">
        <v>31207.23202478918</v>
      </c>
      <c r="E345">
        <v>31207.23202478918</v>
      </c>
      <c r="F345">
        <v>0</v>
      </c>
    </row>
    <row r="346" spans="1:6" x14ac:dyDescent="0.3">
      <c r="A346" t="s">
        <v>370</v>
      </c>
      <c r="B346" t="s">
        <v>365</v>
      </c>
      <c r="C346" t="s">
        <v>347</v>
      </c>
      <c r="D346">
        <v>185.38656036016769</v>
      </c>
      <c r="E346">
        <v>185.38656036016769</v>
      </c>
      <c r="F346">
        <v>0</v>
      </c>
    </row>
    <row r="347" spans="1:6" x14ac:dyDescent="0.3">
      <c r="A347" t="s">
        <v>370</v>
      </c>
      <c r="B347" t="s">
        <v>365</v>
      </c>
      <c r="C347" t="s">
        <v>348</v>
      </c>
      <c r="D347">
        <v>5710.8496906355076</v>
      </c>
      <c r="E347">
        <v>5710.8496906355076</v>
      </c>
      <c r="F347">
        <v>0</v>
      </c>
    </row>
    <row r="348" spans="1:6" x14ac:dyDescent="0.3">
      <c r="A348" t="s">
        <v>370</v>
      </c>
      <c r="B348" t="s">
        <v>365</v>
      </c>
      <c r="C348" t="s">
        <v>349</v>
      </c>
      <c r="D348">
        <v>18.299763612803421</v>
      </c>
      <c r="E348">
        <v>18.299763612803421</v>
      </c>
      <c r="F348">
        <v>0</v>
      </c>
    </row>
    <row r="349" spans="1:6" x14ac:dyDescent="0.3">
      <c r="A349" t="s">
        <v>370</v>
      </c>
      <c r="B349" t="s">
        <v>365</v>
      </c>
      <c r="C349" t="s">
        <v>350</v>
      </c>
      <c r="D349">
        <v>50.877570085470083</v>
      </c>
      <c r="E349">
        <v>50.877603217109183</v>
      </c>
      <c r="F349">
        <v>-3.3131639099792658E-5</v>
      </c>
    </row>
    <row r="350" spans="1:6" x14ac:dyDescent="0.3">
      <c r="A350" t="s">
        <v>370</v>
      </c>
      <c r="B350" t="s">
        <v>365</v>
      </c>
      <c r="C350" t="s">
        <v>351</v>
      </c>
      <c r="D350">
        <v>2905.5415538289321</v>
      </c>
      <c r="E350">
        <v>2905.5434459270409</v>
      </c>
      <c r="F350">
        <v>-1.8920981092378499E-3</v>
      </c>
    </row>
    <row r="351" spans="1:6" x14ac:dyDescent="0.3">
      <c r="A351" t="s">
        <v>370</v>
      </c>
      <c r="B351" t="s">
        <v>365</v>
      </c>
      <c r="C351" t="s">
        <v>352</v>
      </c>
      <c r="D351">
        <v>474.01200000000011</v>
      </c>
      <c r="E351">
        <v>474.01200000000011</v>
      </c>
      <c r="F351">
        <v>0</v>
      </c>
    </row>
    <row r="352" spans="1:6" x14ac:dyDescent="0.3">
      <c r="A352" t="s">
        <v>370</v>
      </c>
      <c r="B352" t="s">
        <v>365</v>
      </c>
      <c r="C352" t="s">
        <v>353</v>
      </c>
      <c r="D352">
        <v>37.120522989130798</v>
      </c>
      <c r="E352">
        <v>37.120522989130798</v>
      </c>
      <c r="F352">
        <v>0</v>
      </c>
    </row>
    <row r="353" spans="1:6" x14ac:dyDescent="0.3">
      <c r="A353" t="s">
        <v>370</v>
      </c>
      <c r="B353" t="s">
        <v>365</v>
      </c>
      <c r="C353" t="s">
        <v>354</v>
      </c>
      <c r="D353">
        <v>2394.4090308398008</v>
      </c>
      <c r="E353">
        <v>2394.4109229379101</v>
      </c>
      <c r="F353">
        <v>-1.8920981092378499E-3</v>
      </c>
    </row>
    <row r="354" spans="1:6" x14ac:dyDescent="0.3">
      <c r="A354" t="s">
        <v>370</v>
      </c>
      <c r="B354" t="s">
        <v>365</v>
      </c>
      <c r="C354" t="s">
        <v>355</v>
      </c>
      <c r="D354">
        <v>2523.4090308398008</v>
      </c>
      <c r="E354">
        <v>2523.4109229379101</v>
      </c>
      <c r="F354">
        <v>-1.8920981092378499E-3</v>
      </c>
    </row>
    <row r="355" spans="1:6" x14ac:dyDescent="0.3">
      <c r="A355" t="s">
        <v>370</v>
      </c>
      <c r="B355" t="s">
        <v>365</v>
      </c>
      <c r="C355" t="s">
        <v>356</v>
      </c>
      <c r="D355">
        <v>454.21362555116423</v>
      </c>
      <c r="E355">
        <v>454.21396612882381</v>
      </c>
      <c r="F355">
        <v>-3.4057765964234932E-4</v>
      </c>
    </row>
    <row r="356" spans="1:6" x14ac:dyDescent="0.3">
      <c r="A356" t="s">
        <v>370</v>
      </c>
      <c r="B356" t="s">
        <v>365</v>
      </c>
      <c r="C356" t="s">
        <v>357</v>
      </c>
      <c r="D356">
        <v>2069.1954052886372</v>
      </c>
      <c r="E356">
        <v>2069.1969568090858</v>
      </c>
      <c r="F356">
        <v>-1.551520449538657E-3</v>
      </c>
    </row>
    <row r="357" spans="1:6" x14ac:dyDescent="0.3">
      <c r="A357" t="s">
        <v>370</v>
      </c>
      <c r="B357" t="s">
        <v>365</v>
      </c>
      <c r="C357" t="s">
        <v>358</v>
      </c>
      <c r="D357">
        <v>574.87507270420133</v>
      </c>
      <c r="E357">
        <v>574.87507084023775</v>
      </c>
      <c r="F357">
        <v>1.863963575488015E-6</v>
      </c>
    </row>
    <row r="358" spans="1:6" x14ac:dyDescent="0.3">
      <c r="A358" t="s">
        <v>370</v>
      </c>
      <c r="B358" t="s">
        <v>365</v>
      </c>
      <c r="C358" t="s">
        <v>359</v>
      </c>
      <c r="D358">
        <v>3.5993827242416012</v>
      </c>
      <c r="E358">
        <v>3.5993854347949839</v>
      </c>
      <c r="F358">
        <v>-2.7105533826343731E-6</v>
      </c>
    </row>
    <row r="359" spans="1:6" x14ac:dyDescent="0.3">
      <c r="A359" t="s">
        <v>370</v>
      </c>
      <c r="B359" t="s">
        <v>365</v>
      </c>
      <c r="C359" t="s">
        <v>360</v>
      </c>
      <c r="D359">
        <v>2033.879087680252</v>
      </c>
      <c r="E359">
        <v>2033.8804121489291</v>
      </c>
      <c r="F359">
        <v>-1.3244686765574441E-3</v>
      </c>
    </row>
    <row r="360" spans="1:6" x14ac:dyDescent="0.3">
      <c r="A360" t="s">
        <v>370</v>
      </c>
      <c r="B360" t="s">
        <v>365</v>
      </c>
      <c r="C360" t="s">
        <v>361</v>
      </c>
      <c r="D360">
        <v>11463.165408326269</v>
      </c>
      <c r="E360">
        <v>11463.171325807851</v>
      </c>
      <c r="F360">
        <v>-5.9174815814913018E-3</v>
      </c>
    </row>
    <row r="361" spans="1:6" x14ac:dyDescent="0.3">
      <c r="A361" t="s">
        <v>370</v>
      </c>
      <c r="B361" t="s">
        <v>366</v>
      </c>
      <c r="C361" t="s">
        <v>345</v>
      </c>
      <c r="D361">
        <v>152.91136</v>
      </c>
      <c r="E361">
        <v>152.91136</v>
      </c>
      <c r="F361">
        <v>0</v>
      </c>
    </row>
    <row r="362" spans="1:6" x14ac:dyDescent="0.3">
      <c r="A362" t="s">
        <v>370</v>
      </c>
      <c r="B362" t="s">
        <v>366</v>
      </c>
      <c r="C362" t="s">
        <v>346</v>
      </c>
      <c r="D362">
        <v>27170.843793407999</v>
      </c>
      <c r="E362">
        <v>27170.843793407999</v>
      </c>
      <c r="F362">
        <v>0</v>
      </c>
    </row>
    <row r="363" spans="1:6" x14ac:dyDescent="0.3">
      <c r="A363" t="s">
        <v>370</v>
      </c>
      <c r="B363" t="s">
        <v>366</v>
      </c>
      <c r="C363" t="s">
        <v>347</v>
      </c>
      <c r="D363">
        <v>177.69015849056601</v>
      </c>
      <c r="E363">
        <v>177.69015849056601</v>
      </c>
      <c r="F363">
        <v>0</v>
      </c>
    </row>
    <row r="364" spans="1:6" x14ac:dyDescent="0.3">
      <c r="A364" t="s">
        <v>370</v>
      </c>
      <c r="B364" t="s">
        <v>366</v>
      </c>
      <c r="C364" t="s">
        <v>348</v>
      </c>
      <c r="D364">
        <v>3747.8380053409819</v>
      </c>
      <c r="E364">
        <v>3747.8380053409828</v>
      </c>
      <c r="F364">
        <v>-9.0949470177292824E-13</v>
      </c>
    </row>
    <row r="365" spans="1:6" x14ac:dyDescent="0.3">
      <c r="A365" t="s">
        <v>370</v>
      </c>
      <c r="B365" t="s">
        <v>366</v>
      </c>
      <c r="C365" t="s">
        <v>349</v>
      </c>
      <c r="D365">
        <v>13.79360182494684</v>
      </c>
      <c r="E365">
        <v>13.79360182494684</v>
      </c>
      <c r="F365">
        <v>-3.5527136788005009E-15</v>
      </c>
    </row>
    <row r="366" spans="1:6" x14ac:dyDescent="0.3">
      <c r="A366" t="s">
        <v>370</v>
      </c>
      <c r="B366" t="s">
        <v>366</v>
      </c>
      <c r="C366" t="s">
        <v>350</v>
      </c>
      <c r="D366">
        <v>31.862836501079911</v>
      </c>
      <c r="E366">
        <v>31.862864688372749</v>
      </c>
      <c r="F366">
        <v>-2.8187292834047639E-5</v>
      </c>
    </row>
    <row r="367" spans="1:6" x14ac:dyDescent="0.3">
      <c r="A367" t="s">
        <v>370</v>
      </c>
      <c r="B367" t="s">
        <v>366</v>
      </c>
      <c r="C367" t="s">
        <v>351</v>
      </c>
      <c r="D367">
        <v>1194.167495967132</v>
      </c>
      <c r="E367">
        <v>1194.168552381205</v>
      </c>
      <c r="F367">
        <v>-1.056414073673295E-3</v>
      </c>
    </row>
    <row r="368" spans="1:6" x14ac:dyDescent="0.3">
      <c r="A368" t="s">
        <v>370</v>
      </c>
      <c r="B368" t="s">
        <v>366</v>
      </c>
      <c r="C368" t="s">
        <v>352</v>
      </c>
      <c r="D368">
        <v>475.2000000000001</v>
      </c>
      <c r="E368">
        <v>475.2000000000001</v>
      </c>
      <c r="F368">
        <v>0</v>
      </c>
    </row>
    <row r="369" spans="1:6" x14ac:dyDescent="0.3">
      <c r="A369" t="s">
        <v>370</v>
      </c>
      <c r="B369" t="s">
        <v>366</v>
      </c>
      <c r="C369" t="s">
        <v>353</v>
      </c>
      <c r="D369">
        <v>24.360947034716379</v>
      </c>
      <c r="E369">
        <v>24.360947034716389</v>
      </c>
      <c r="F369">
        <v>-3.5527136788005009E-15</v>
      </c>
    </row>
    <row r="370" spans="1:6" x14ac:dyDescent="0.3">
      <c r="A370" t="s">
        <v>370</v>
      </c>
      <c r="B370" t="s">
        <v>366</v>
      </c>
      <c r="C370" t="s">
        <v>354</v>
      </c>
      <c r="D370">
        <v>694.60654893241542</v>
      </c>
      <c r="E370">
        <v>694.60760534648909</v>
      </c>
      <c r="F370">
        <v>-1.056414073673295E-3</v>
      </c>
    </row>
    <row r="371" spans="1:6" x14ac:dyDescent="0.3">
      <c r="A371" t="s">
        <v>370</v>
      </c>
      <c r="B371" t="s">
        <v>366</v>
      </c>
      <c r="C371" t="s">
        <v>355</v>
      </c>
      <c r="D371">
        <v>823.60654893241542</v>
      </c>
      <c r="E371">
        <v>823.60760534648909</v>
      </c>
      <c r="F371">
        <v>-1.056414073673295E-3</v>
      </c>
    </row>
    <row r="372" spans="1:6" x14ac:dyDescent="0.3">
      <c r="A372" t="s">
        <v>370</v>
      </c>
      <c r="B372" t="s">
        <v>366</v>
      </c>
      <c r="C372" t="s">
        <v>356</v>
      </c>
      <c r="D372">
        <v>148.2491788078348</v>
      </c>
      <c r="E372">
        <v>148.24936896236801</v>
      </c>
      <c r="F372">
        <v>-1.9015453327142501E-4</v>
      </c>
    </row>
    <row r="373" spans="1:6" x14ac:dyDescent="0.3">
      <c r="A373" t="s">
        <v>370</v>
      </c>
      <c r="B373" t="s">
        <v>366</v>
      </c>
      <c r="C373" t="s">
        <v>357</v>
      </c>
      <c r="D373">
        <v>675.35737012458071</v>
      </c>
      <c r="E373">
        <v>675.35823638412103</v>
      </c>
      <c r="F373">
        <v>-8.6625954031660513E-4</v>
      </c>
    </row>
    <row r="374" spans="1:6" x14ac:dyDescent="0.3">
      <c r="A374" t="s">
        <v>370</v>
      </c>
      <c r="B374" t="s">
        <v>366</v>
      </c>
      <c r="C374" t="s">
        <v>358</v>
      </c>
      <c r="D374">
        <v>570.66270908716194</v>
      </c>
      <c r="E374">
        <v>570.66270825828974</v>
      </c>
      <c r="F374">
        <v>8.2887220287375385E-7</v>
      </c>
    </row>
    <row r="375" spans="1:6" x14ac:dyDescent="0.3">
      <c r="A375" t="s">
        <v>370</v>
      </c>
      <c r="B375" t="s">
        <v>366</v>
      </c>
      <c r="C375" t="s">
        <v>359</v>
      </c>
      <c r="D375">
        <v>1.183461542817279</v>
      </c>
      <c r="E375">
        <v>1.183463062524921</v>
      </c>
      <c r="F375">
        <v>-1.5197076419504189E-6</v>
      </c>
    </row>
    <row r="376" spans="1:6" x14ac:dyDescent="0.3">
      <c r="A376" t="s">
        <v>370</v>
      </c>
      <c r="B376" t="s">
        <v>366</v>
      </c>
      <c r="C376" t="s">
        <v>360</v>
      </c>
      <c r="D376">
        <v>835.91724717699219</v>
      </c>
      <c r="E376">
        <v>835.91798666684383</v>
      </c>
      <c r="F376">
        <v>-7.3948985163951875E-4</v>
      </c>
    </row>
    <row r="377" spans="1:6" x14ac:dyDescent="0.3">
      <c r="A377" t="s">
        <v>370</v>
      </c>
      <c r="B377" t="s">
        <v>366</v>
      </c>
      <c r="C377" t="s">
        <v>361</v>
      </c>
      <c r="D377">
        <v>11082.76265550326</v>
      </c>
      <c r="E377">
        <v>11082.769312474689</v>
      </c>
      <c r="F377">
        <v>-6.6569714326760732E-3</v>
      </c>
    </row>
    <row r="378" spans="1:6" x14ac:dyDescent="0.3">
      <c r="A378" t="s">
        <v>370</v>
      </c>
      <c r="B378" t="s">
        <v>367</v>
      </c>
      <c r="C378" t="s">
        <v>345</v>
      </c>
      <c r="D378">
        <v>591.32799999999997</v>
      </c>
      <c r="E378">
        <v>591.32799999999997</v>
      </c>
      <c r="F378">
        <v>0</v>
      </c>
    </row>
    <row r="379" spans="1:6" x14ac:dyDescent="0.3">
      <c r="A379" t="s">
        <v>370</v>
      </c>
      <c r="B379" t="s">
        <v>367</v>
      </c>
      <c r="C379" t="s">
        <v>346</v>
      </c>
      <c r="D379">
        <v>106851.0802</v>
      </c>
      <c r="E379">
        <v>106851.0802</v>
      </c>
      <c r="F379">
        <v>0</v>
      </c>
    </row>
    <row r="380" spans="1:6" x14ac:dyDescent="0.3">
      <c r="A380" t="s">
        <v>370</v>
      </c>
      <c r="B380" t="s">
        <v>367</v>
      </c>
      <c r="C380" t="s">
        <v>347</v>
      </c>
      <c r="D380">
        <v>180.69680481898371</v>
      </c>
      <c r="E380">
        <v>180.69680481898371</v>
      </c>
      <c r="F380">
        <v>0</v>
      </c>
    </row>
    <row r="381" spans="1:6" x14ac:dyDescent="0.3">
      <c r="A381" t="s">
        <v>370</v>
      </c>
      <c r="B381" t="s">
        <v>367</v>
      </c>
      <c r="C381" t="s">
        <v>348</v>
      </c>
      <c r="D381">
        <v>14356.236874</v>
      </c>
      <c r="E381">
        <v>14356.236874</v>
      </c>
      <c r="F381">
        <v>1.8189894035458561E-12</v>
      </c>
    </row>
    <row r="382" spans="1:6" x14ac:dyDescent="0.3">
      <c r="A382" t="s">
        <v>370</v>
      </c>
      <c r="B382" t="s">
        <v>367</v>
      </c>
      <c r="C382" t="s">
        <v>349</v>
      </c>
      <c r="D382">
        <v>13.43574332344466</v>
      </c>
      <c r="E382">
        <v>13.43574332344466</v>
      </c>
      <c r="F382">
        <v>3.5527136788005009E-15</v>
      </c>
    </row>
    <row r="383" spans="1:6" x14ac:dyDescent="0.3">
      <c r="A383" t="s">
        <v>370</v>
      </c>
      <c r="B383" t="s">
        <v>367</v>
      </c>
      <c r="C383" t="s">
        <v>350</v>
      </c>
      <c r="D383">
        <v>36.500001097979087</v>
      </c>
      <c r="E383">
        <v>36.5</v>
      </c>
      <c r="F383">
        <v>1.0979790943110861E-6</v>
      </c>
    </row>
    <row r="384" spans="1:6" x14ac:dyDescent="0.3">
      <c r="A384" t="s">
        <v>370</v>
      </c>
      <c r="B384" t="s">
        <v>367</v>
      </c>
      <c r="C384" t="s">
        <v>351</v>
      </c>
      <c r="D384">
        <v>5240.0266166384799</v>
      </c>
      <c r="E384">
        <v>5240.0264590099996</v>
      </c>
      <c r="F384">
        <v>1.576284803377348E-4</v>
      </c>
    </row>
    <row r="385" spans="1:6" x14ac:dyDescent="0.3">
      <c r="A385" t="s">
        <v>370</v>
      </c>
      <c r="B385" t="s">
        <v>367</v>
      </c>
      <c r="C385" t="s">
        <v>352</v>
      </c>
      <c r="D385">
        <v>1775.9</v>
      </c>
      <c r="E385">
        <v>1775.9</v>
      </c>
      <c r="F385">
        <v>0</v>
      </c>
    </row>
    <row r="386" spans="1:6" x14ac:dyDescent="0.3">
      <c r="A386" t="s">
        <v>370</v>
      </c>
      <c r="B386" t="s">
        <v>367</v>
      </c>
      <c r="C386" t="s">
        <v>353</v>
      </c>
      <c r="D386">
        <v>91.456539680999995</v>
      </c>
      <c r="E386">
        <v>91.456539680999995</v>
      </c>
      <c r="F386">
        <v>0</v>
      </c>
    </row>
    <row r="387" spans="1:6" x14ac:dyDescent="0.3">
      <c r="A387" t="s">
        <v>370</v>
      </c>
      <c r="B387" t="s">
        <v>367</v>
      </c>
      <c r="C387" t="s">
        <v>354</v>
      </c>
      <c r="D387">
        <v>3438.67007695748</v>
      </c>
      <c r="E387">
        <v>3438.6699193290001</v>
      </c>
      <c r="F387">
        <v>1.5762847988298739E-4</v>
      </c>
    </row>
    <row r="388" spans="1:6" x14ac:dyDescent="0.3">
      <c r="A388" t="s">
        <v>370</v>
      </c>
      <c r="B388" t="s">
        <v>367</v>
      </c>
      <c r="C388" t="s">
        <v>355</v>
      </c>
      <c r="D388">
        <v>3979.67007695748</v>
      </c>
      <c r="E388">
        <v>3979.6699193290001</v>
      </c>
      <c r="F388">
        <v>1.5762847988298739E-4</v>
      </c>
    </row>
    <row r="389" spans="1:6" x14ac:dyDescent="0.3">
      <c r="A389" t="s">
        <v>370</v>
      </c>
      <c r="B389" t="s">
        <v>367</v>
      </c>
      <c r="C389" t="s">
        <v>356</v>
      </c>
      <c r="D389">
        <v>706.30061385234637</v>
      </c>
      <c r="E389">
        <v>706.30058547921999</v>
      </c>
      <c r="F389">
        <v>2.8373126383485211E-5</v>
      </c>
    </row>
    <row r="390" spans="1:6" x14ac:dyDescent="0.3">
      <c r="A390" t="s">
        <v>370</v>
      </c>
      <c r="B390" t="s">
        <v>367</v>
      </c>
      <c r="C390" t="s">
        <v>357</v>
      </c>
      <c r="D390">
        <v>3273.369463105133</v>
      </c>
      <c r="E390">
        <v>3273.3693338497801</v>
      </c>
      <c r="F390">
        <v>1.292553533858154E-4</v>
      </c>
    </row>
    <row r="391" spans="1:6" x14ac:dyDescent="0.3">
      <c r="A391" t="s">
        <v>370</v>
      </c>
      <c r="B391" t="s">
        <v>367</v>
      </c>
      <c r="C391" t="s">
        <v>358</v>
      </c>
      <c r="D391">
        <v>596.34110804596025</v>
      </c>
      <c r="E391">
        <v>596.34110786897782</v>
      </c>
      <c r="F391">
        <v>1.7698243937047659E-7</v>
      </c>
    </row>
    <row r="392" spans="1:6" x14ac:dyDescent="0.3">
      <c r="A392" t="s">
        <v>370</v>
      </c>
      <c r="B392" t="s">
        <v>367</v>
      </c>
      <c r="C392" t="s">
        <v>359</v>
      </c>
      <c r="D392">
        <v>5.489089078281105</v>
      </c>
      <c r="E392">
        <v>5.489088863162813</v>
      </c>
      <c r="F392">
        <v>2.1511829206843911E-7</v>
      </c>
    </row>
    <row r="393" spans="1:6" x14ac:dyDescent="0.3">
      <c r="A393" t="s">
        <v>370</v>
      </c>
      <c r="B393" t="s">
        <v>367</v>
      </c>
      <c r="C393" t="s">
        <v>360</v>
      </c>
      <c r="D393">
        <v>5379.0186316469353</v>
      </c>
      <c r="E393">
        <v>5379.0185213069999</v>
      </c>
      <c r="F393">
        <v>1.103399354178691E-4</v>
      </c>
    </row>
    <row r="394" spans="1:6" x14ac:dyDescent="0.3">
      <c r="A394" t="s">
        <v>370</v>
      </c>
      <c r="B394" t="s">
        <v>367</v>
      </c>
      <c r="C394" t="s">
        <v>361</v>
      </c>
      <c r="D394">
        <v>9607.4036316469355</v>
      </c>
      <c r="E394">
        <v>9607.4035213070001</v>
      </c>
      <c r="F394">
        <v>1.103399354178691E-4</v>
      </c>
    </row>
    <row r="395" spans="1:6" x14ac:dyDescent="0.3">
      <c r="A395" t="s">
        <v>370</v>
      </c>
      <c r="B395" t="s">
        <v>368</v>
      </c>
      <c r="C395" t="s">
        <v>345</v>
      </c>
      <c r="D395">
        <v>662.28736000000015</v>
      </c>
      <c r="E395">
        <v>662.28736000000004</v>
      </c>
      <c r="F395">
        <v>1.13686837721616E-13</v>
      </c>
    </row>
    <row r="396" spans="1:6" x14ac:dyDescent="0.3">
      <c r="A396" t="s">
        <v>370</v>
      </c>
      <c r="B396" t="s">
        <v>368</v>
      </c>
      <c r="C396" t="s">
        <v>346</v>
      </c>
      <c r="D396">
        <v>123345.65772539721</v>
      </c>
      <c r="E396">
        <v>123345.65772539721</v>
      </c>
      <c r="F396">
        <v>0</v>
      </c>
    </row>
    <row r="397" spans="1:6" x14ac:dyDescent="0.3">
      <c r="A397" t="s">
        <v>370</v>
      </c>
      <c r="B397" t="s">
        <v>368</v>
      </c>
      <c r="C397" t="s">
        <v>347</v>
      </c>
      <c r="D397">
        <v>186.24190219393159</v>
      </c>
      <c r="E397">
        <v>186.24190219393159</v>
      </c>
      <c r="F397">
        <v>-2.8421709430404007E-14</v>
      </c>
    </row>
    <row r="398" spans="1:6" x14ac:dyDescent="0.3">
      <c r="A398" t="s">
        <v>370</v>
      </c>
      <c r="B398" t="s">
        <v>368</v>
      </c>
      <c r="C398" t="s">
        <v>348</v>
      </c>
      <c r="D398">
        <v>16790.637970520489</v>
      </c>
      <c r="E398">
        <v>16790.637970520489</v>
      </c>
      <c r="F398">
        <v>0</v>
      </c>
    </row>
    <row r="399" spans="1:6" x14ac:dyDescent="0.3">
      <c r="A399" t="s">
        <v>370</v>
      </c>
      <c r="B399" t="s">
        <v>368</v>
      </c>
      <c r="C399" t="s">
        <v>349</v>
      </c>
      <c r="D399">
        <v>13.612670506732609</v>
      </c>
      <c r="E399">
        <v>13.612670506732609</v>
      </c>
      <c r="F399">
        <v>0</v>
      </c>
    </row>
    <row r="400" spans="1:6" x14ac:dyDescent="0.3">
      <c r="A400" t="s">
        <v>370</v>
      </c>
      <c r="B400" t="s">
        <v>368</v>
      </c>
      <c r="C400" t="s">
        <v>350</v>
      </c>
      <c r="D400">
        <v>36.99996797198834</v>
      </c>
      <c r="E400">
        <v>37.000000000000007</v>
      </c>
      <c r="F400">
        <v>-3.2028011666795919E-5</v>
      </c>
    </row>
    <row r="401" spans="1:6" x14ac:dyDescent="0.3">
      <c r="A401" t="s">
        <v>370</v>
      </c>
      <c r="B401" t="s">
        <v>368</v>
      </c>
      <c r="C401" t="s">
        <v>351</v>
      </c>
      <c r="D401">
        <v>6212.5306713850941</v>
      </c>
      <c r="E401">
        <v>6212.5360490925814</v>
      </c>
      <c r="F401">
        <v>-5.3777074872414232E-3</v>
      </c>
    </row>
    <row r="402" spans="1:6" x14ac:dyDescent="0.3">
      <c r="A402" t="s">
        <v>370</v>
      </c>
      <c r="B402" t="s">
        <v>368</v>
      </c>
      <c r="C402" t="s">
        <v>352</v>
      </c>
      <c r="D402">
        <v>1917.972</v>
      </c>
      <c r="E402">
        <v>1917.972</v>
      </c>
      <c r="F402">
        <v>-2.2737367544323211E-13</v>
      </c>
    </row>
    <row r="403" spans="1:6" x14ac:dyDescent="0.3">
      <c r="A403" t="s">
        <v>370</v>
      </c>
      <c r="B403" t="s">
        <v>368</v>
      </c>
      <c r="C403" t="s">
        <v>353</v>
      </c>
      <c r="D403">
        <v>109.1391468083832</v>
      </c>
      <c r="E403">
        <v>109.1391468083832</v>
      </c>
      <c r="F403">
        <v>1.4210854715202001E-14</v>
      </c>
    </row>
    <row r="404" spans="1:6" x14ac:dyDescent="0.3">
      <c r="A404" t="s">
        <v>370</v>
      </c>
      <c r="B404" t="s">
        <v>368</v>
      </c>
      <c r="C404" t="s">
        <v>354</v>
      </c>
      <c r="D404">
        <v>4185.4195245767114</v>
      </c>
      <c r="E404">
        <v>4185.4249022841977</v>
      </c>
      <c r="F404">
        <v>-5.3777074863319294E-3</v>
      </c>
    </row>
    <row r="405" spans="1:6" x14ac:dyDescent="0.3">
      <c r="A405" t="s">
        <v>370</v>
      </c>
      <c r="B405" t="s">
        <v>368</v>
      </c>
      <c r="C405" t="s">
        <v>355</v>
      </c>
      <c r="D405">
        <v>4701.4195245767114</v>
      </c>
      <c r="E405">
        <v>4701.4249022841977</v>
      </c>
      <c r="F405">
        <v>-5.3777074863319294E-3</v>
      </c>
    </row>
    <row r="406" spans="1:6" x14ac:dyDescent="0.3">
      <c r="A406" t="s">
        <v>370</v>
      </c>
      <c r="B406" t="s">
        <v>368</v>
      </c>
      <c r="C406" t="s">
        <v>356</v>
      </c>
      <c r="D406">
        <v>846.25551442380811</v>
      </c>
      <c r="E406">
        <v>846.25648241115562</v>
      </c>
      <c r="F406">
        <v>-9.6798734750791482E-4</v>
      </c>
    </row>
    <row r="407" spans="1:6" x14ac:dyDescent="0.3">
      <c r="A407" t="s">
        <v>370</v>
      </c>
      <c r="B407" t="s">
        <v>368</v>
      </c>
      <c r="C407" t="s">
        <v>357</v>
      </c>
      <c r="D407">
        <v>3855.1640101529028</v>
      </c>
      <c r="E407">
        <v>3855.1684198730418</v>
      </c>
      <c r="F407">
        <v>-4.4097201393924479E-3</v>
      </c>
    </row>
    <row r="408" spans="1:6" x14ac:dyDescent="0.3">
      <c r="A408" t="s">
        <v>370</v>
      </c>
      <c r="B408" t="s">
        <v>368</v>
      </c>
      <c r="C408" t="s">
        <v>358</v>
      </c>
      <c r="D408">
        <v>577.0512116882735</v>
      </c>
      <c r="E408">
        <v>577.05120972724808</v>
      </c>
      <c r="F408">
        <v>1.9610254184954101E-6</v>
      </c>
    </row>
    <row r="409" spans="1:6" x14ac:dyDescent="0.3">
      <c r="A409" t="s">
        <v>370</v>
      </c>
      <c r="B409" t="s">
        <v>368</v>
      </c>
      <c r="C409" t="s">
        <v>359</v>
      </c>
      <c r="D409">
        <v>6.6808004767443157</v>
      </c>
      <c r="E409">
        <v>6.6808081412657394</v>
      </c>
      <c r="F409">
        <v>-7.664521422867665E-6</v>
      </c>
    </row>
    <row r="410" spans="1:6" x14ac:dyDescent="0.3">
      <c r="A410" t="s">
        <v>370</v>
      </c>
      <c r="B410" t="s">
        <v>368</v>
      </c>
      <c r="C410" t="s">
        <v>360</v>
      </c>
      <c r="D410">
        <v>6346.6492238563224</v>
      </c>
      <c r="E410">
        <v>6346.6559911676904</v>
      </c>
      <c r="F410">
        <v>-6.7673113671844476E-3</v>
      </c>
    </row>
    <row r="411" spans="1:6" x14ac:dyDescent="0.3">
      <c r="A411" t="s">
        <v>370</v>
      </c>
      <c r="B411" t="s">
        <v>368</v>
      </c>
      <c r="C411" t="s">
        <v>361</v>
      </c>
      <c r="D411">
        <v>11082.76265550326</v>
      </c>
      <c r="E411">
        <v>11082.769312474689</v>
      </c>
      <c r="F411">
        <v>-6.6569714326760732E-3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</vt:lpstr>
      <vt:lpstr>Mgmt_Literal</vt:lpstr>
      <vt:lpstr>Mgmt_Delivered</vt:lpstr>
      <vt:lpstr>Mgmt_Ambition</vt:lpstr>
      <vt:lpstr>Valuation</vt:lpstr>
      <vt:lpstr>Street</vt:lpstr>
      <vt:lpstr>Mgmt_Statements</vt:lpstr>
      <vt:lpstr>Recon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krishang surapaneni</cp:lastModifiedBy>
  <dcterms:created xsi:type="dcterms:W3CDTF">2026-09-12T04:24:05Z</dcterms:created>
  <dcterms:modified xsi:type="dcterms:W3CDTF">2026-09-12T04:24:10Z</dcterms:modified>
</cp:coreProperties>
</file>