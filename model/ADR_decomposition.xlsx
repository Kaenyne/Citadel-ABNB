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README" sheetId="1" r:id="rId1"/>
    <sheet name="1_History" sheetId="2" r:id="rId2"/>
    <sheet name="2_Decomposition" sheetId="3" r:id="rId3"/>
    <sheet name="3_Regional" sheetId="4" r:id="rId4"/>
    <sheet name="4_Drivers" sheetId="5" r:id="rId5"/>
    <sheet name="5_Forecast" sheetId="6" r:id="rId6"/>
  </sheets>
  <calcPr calcId="124519" fullCalcOnLoad="1"/>
</workbook>
</file>

<file path=xl/sharedStrings.xml><?xml version="1.0" encoding="utf-8"?>
<sst xmlns="http://schemas.openxmlformats.org/spreadsheetml/2006/main" count="230" uniqueCount="161">
  <si>
    <t>ABNB ADR decomposition</t>
  </si>
  <si>
    <t>Owner</t>
  </si>
  <si>
    <t>Krish. Built 7-8 Sep 2026 with Claude Code.</t>
  </si>
  <si>
    <t>Source note</t>
  </si>
  <si>
    <t>research/notes/2026-09-07_adr-decomposition.md</t>
  </si>
  <si>
    <t>Scripts</t>
  </si>
  <si>
    <t>analysis/src/adr/01-09; data in data/processed/adr/</t>
  </si>
  <si>
    <t>Rebuild</t>
  </si>
  <si>
    <t>py -3.13 analysis/src/adr/09_workbook.py</t>
  </si>
  <si>
    <t>The identity</t>
  </si>
  <si>
    <t>blended ADR y/y  =  FX  +  geographic mix  +  nights-weighted regional ADR ex-FX  +  interaction</t>
  </si>
  <si>
    <t>Why it matters</t>
  </si>
  <si>
    <t>Blended ex-FX ADR is NOT a pricing signal. In 2025 it was +1.95% while every single region priced at 2.6-4.1% (nights-weighted +3.54%). The -1.58pp gap is geographic mix. Anyone reading blended ex-FX ADR as 'what Airbnb did on price' is under-reading it by roughly 1.6pp.</t>
  </si>
  <si>
    <t>The forecasting finding</t>
  </si>
  <si>
    <t>Regional ADR ex-FX has converged. Cross-regional spread: 19.1pp (2022) -&gt; 9.9 -&gt; 3.7 -&gt; 1.5pp (2025), with all four regions in a 2.6-4.1% band. So the term that used to need four separate forecasts is now one number plus a band, and the real forecasting work moves to FX and mix - both of which are far more tractable. See sheet 4 and 5.</t>
  </si>
  <si>
    <t>Sheets</t>
  </si>
  <si>
    <t>1_History</t>
  </si>
  <si>
    <t>Quarterly ADR 1Q19-2Q26: level, reported y/y, FX contribution, ex-FX. Ex-FX is disclosed from 2Q22 and reconstructed before that (validated r 0.988, raw RMSE 0.68pp). 1Q20-2Q21 are flagged do-not-calibrate.</t>
  </si>
  <si>
    <t>2_Decomposition</t>
  </si>
  <si>
    <t>Annual four-way split with an explicit UNEXPLAINED line. Price is measured externally rather than used as the plug, so the terms do not sum to zero by construction - the gap is the point.</t>
  </si>
  <si>
    <t>3_Regional</t>
  </si>
  <si>
    <t>Regional ADR levels and ex-FX growth from the 10-K, plus nights shares and the convergence table.</t>
  </si>
  <si>
    <t>4_Drivers</t>
  </si>
  <si>
    <t>Forecastability scorecard: for each term, how it behaves, whether it can be forecast, and how.</t>
  </si>
  <si>
    <t>5_Forecast</t>
  </si>
  <si>
    <t>Live scaffold. Yellow cells are inputs, blue cells are formulas. Drive FY27 ADR from a USD path, a regional nights mix and a regional pricing assumption.</t>
  </si>
  <si>
    <t>Health warning</t>
  </si>
  <si>
    <t>Like-for-like price is NOT measurable from public data post-reopening. Every external benchmark (CPI lodging, BEA hotels, MAR/HLT RevPAR) has Bonferroni p=1.000 against ABNB ADR ex-FX on 2023Q1+. The unexplained line of +3.97pp in 2025 measures that ignorance; it is not a discovery. Do not build a price forecast on a hotel index.</t>
  </si>
  <si>
    <t>Quarterly ADR history and the ex-FX reconstruction</t>
  </si>
  <si>
    <t>ADR level from 1Q19 (1Q21 letter Quarterly Summary); ex-FX disclosed from 2Q22, reconstructed before that.</t>
  </si>
  <si>
    <t>Quarter</t>
  </si>
  <si>
    <t>ADR $</t>
  </si>
  <si>
    <t>Reported y/y %</t>
  </si>
  <si>
    <t>FX contribution pp</t>
  </si>
  <si>
    <t>ADR ex-FX y/y %</t>
  </si>
  <si>
    <t>Basis</t>
  </si>
  <si>
    <t>Use for calibration?</t>
  </si>
  <si>
    <t>1Q19</t>
  </si>
  <si>
    <t>2Q19</t>
  </si>
  <si>
    <t>3Q19</t>
  </si>
  <si>
    <t>4Q19</t>
  </si>
  <si>
    <t>1Q20</t>
  </si>
  <si>
    <t>reconstructed (basket, calibrated)</t>
  </si>
  <si>
    <t>NO - COVID distortion</t>
  </si>
  <si>
    <t>2Q20</t>
  </si>
  <si>
    <t>3Q20</t>
  </si>
  <si>
    <t>4Q20</t>
  </si>
  <si>
    <t>1Q21</t>
  </si>
  <si>
    <t>2Q21</t>
  </si>
  <si>
    <t>3Q21</t>
  </si>
  <si>
    <t>yes</t>
  </si>
  <si>
    <t>4Q21</t>
  </si>
  <si>
    <t>1Q22</t>
  </si>
  <si>
    <t>2Q22</t>
  </si>
  <si>
    <t>disclosed (letter)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</si>
  <si>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</si>
  <si>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</si>
  <si>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</si>
  <si>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</si>
  <si>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</si>
  <si>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</si>
  <si>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</si>
  <si>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</si>
  <si>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</si>
  <si>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</si>
  <si>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</si>
  <si>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</si>
  <si>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</si>
  <si>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</si>
  <si>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</si>
  <si>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</si>
  <si>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Annual ADR decomposition (pp of ADR y/y)</t>
  </si>
  <si>
    <t>Price is measured externally, not plugged. The UNEXPLAINED line is the honest residual.</t>
  </si>
  <si>
    <t>Term</t>
  </si>
  <si>
    <t>How to read it</t>
  </si>
  <si>
    <t>ADR y/y, reported</t>
  </si>
  <si>
    <t>What actually printed.</t>
  </si>
  <si>
    <t>Geographic mix</t>
  </si>
  <si>
    <t>Nights shifting to lower-ADR regions. Negative every year and getting worse.</t>
  </si>
  <si>
    <t>FX</t>
  </si>
  <si>
    <t>Mechanical. Fitted 0.52 - 0.72 x broad USD y/y, r 0.96.</t>
  </si>
  <si>
    <t>Length of stay</t>
  </si>
  <si>
    <t>Bounded, not fitted - the panel could not identify an elasticity.</t>
  </si>
  <si>
    <t>Unit-size mix</t>
  </si>
  <si>
    <t>Bedrooms and capacity per booked night, 29 markets. NA/EMEA only.</t>
  </si>
  <si>
    <t>Like-for-like price (measured)</t>
  </si>
  <si>
    <t>External benchmarks, GBV-weighted. No demonstrated power post-2023.</t>
  </si>
  <si>
    <t>Interaction</t>
  </si>
  <si>
    <t>Mix x rate cross-term. Small.</t>
  </si>
  <si>
    <t>UNEXPLAINED</t>
  </si>
  <si>
    <t>What the decomposition cannot account for. This is a measurement statement.</t>
  </si>
  <si>
    <t xml:space="preserve">  as % of the ADR move</t>
  </si>
  <si>
    <t>Confidence</t>
  </si>
  <si>
    <t xml:space="preserve">not estimable </t>
  </si>
  <si>
    <t>low -- no size</t>
  </si>
  <si>
    <t>low -- size mi</t>
  </si>
  <si>
    <t>medium -- size</t>
  </si>
  <si>
    <t>Regional ADR, from the 10-K Geographic Mix tables</t>
  </si>
  <si>
    <t>Non-circular anchor: the filings give regional nights, GBV and revenue, and name regional ADR outright through FY2022.</t>
  </si>
  <si>
    <t>ADR level, $</t>
  </si>
  <si>
    <t>North America</t>
  </si>
  <si>
    <t>EMEA</t>
  </si>
  <si>
    <t>Latin America</t>
  </si>
  <si>
    <t>Asia Pacific</t>
  </si>
  <si>
    <t>ADR ex-FX y/y, %</t>
  </si>
  <si>
    <t>Nights share of total, %</t>
  </si>
  <si>
    <t>Cross-regional spread in ADR ex-FX growth (max - min, pp)</t>
  </si>
  <si>
    <t>Spread</t>
  </si>
  <si>
    <t>THE CONVERGENCE: regional pricing has collapsed into a 1.5pp band. That is what makes the forecast on sheet 5 tractable - one pricing number plus a band, instead of four independent regional forecasts.</t>
  </si>
  <si>
    <t>Forecastability scorecard</t>
  </si>
  <si>
    <t>Ordered by how much of the ADR move they explain AND how forecastable they are. Forecast the top of this list properly; do not pretend to forecast the bottom.</t>
  </si>
  <si>
    <t>Forecast-
ability</t>
  </si>
  <si>
    <t>How it behaves</t>
  </si>
  <si>
    <t>How to forecast it</t>
  </si>
  <si>
    <t>HIGH</t>
  </si>
  <si>
    <t>Mechanical and knowable daily. Fitted ADR FX = 0.52 - 0.72 x broad USD y/y; r 0.96, walk-forward 0.44x naive. Ranged +5.0pp (1Q26) to -7.1pp (3Q22).</t>
  </si>
  <si>
    <t>Take the USD path off the forward curve or a consensus track and apply the fit. This is the only ADR term with demonstrated predictive power. Already in the driver model.</t>
  </si>
  <si>
    <t>Slow, monotonic, and negative every year since 2021: -0.5, -2.8, -1.1, -1.2, -1.6pp. NA nights share fell 39.1% -&gt; 29.6% over five years, roughly 1.5-2pp a year.</t>
  </si>
  <si>
    <t>Sum of (change in regional nights share) x (regional ADR level). Both inputs are disclosed annually in the 10-K. Drive it off the regional nights forecast. NOTE: WS10's shares are wrong for LatAm/APAC - use the 10-K.</t>
  </si>
  <si>
    <t>Regional ADR ex-FX</t>
  </si>
  <si>
    <t>MEDIUM</t>
  </si>
  <si>
    <t>Converged. Spread across regions fell 19.1pp (2022) -&gt; 1.5pp (2025); all four regions printed 2.6-4.1% in 2025, nights-weighted +3.54%.</t>
  </si>
  <si>
    <t>Carry ONE number with a band (base ~3.0-3.5%, bear ~2%, bull ~4%) rather than four regional forecasts. Revisit if the spread re-widens - that would be the signal that a region has decoupled.</t>
  </si>
  <si>
    <t>LOW-MED</t>
  </si>
  <si>
    <t>Small and NA/EMEA-only: +0.63pp of ADR on 29 markets, with APAC +0.08pp and LatAm -0.89pp. Decaying as the mix shift matures.</t>
  </si>
  <si>
    <t>Track it from the quarterly Inside Airbnb capture, and watch whether Airbnb keeps disclosing Bedroom Nights Booked. Treat as a component of the regional pricing number, not a separate forecast line.</t>
  </si>
  <si>
    <t>LOW</t>
  </si>
  <si>
    <t>Small in every year (+0.04 to +0.62pp). ALOS drifting down 4.1 -&gt; 3.7 since 2022.</t>
  </si>
  <si>
    <t>Do not forecast separately. The elasticity is not identifiable from disclosed data (fitted value flipped sign across regions and was rejected). Bounded at -0.15.</t>
  </si>
  <si>
    <t>Like-for-like price</t>
  </si>
  <si>
    <t>NOT
FORECASTABLE</t>
  </si>
  <si>
    <t>No external series tracks it post-reopening. CPI lodging r=+0.05, BEA r=+0.01, MAR/HLT r=+0.13 on 2023Q1+, all Bonferroni p=1.000.</t>
  </si>
  <si>
    <t>Do NOT build a price forecast off a hotel index - it has no demonstrated power. Price is inside the regional pricing number above, as an assumption. Say so out loud rather than dressing it as a forecast.</t>
  </si>
  <si>
    <t>ADR forecast scaffold</t>
  </si>
  <si>
    <t>Yellow = input, blue = formula. Change the yellow cells.</t>
  </si>
  <si>
    <t>Driver</t>
  </si>
  <si>
    <t>Bear</t>
  </si>
  <si>
    <t>Base</t>
  </si>
  <si>
    <t>Bull</t>
  </si>
  <si>
    <t>Broad USD y/y, % (FY27 avg)</t>
  </si>
  <si>
    <t>Consensus / forward curve. 3Q26 QTD was -0.4%.</t>
  </si>
  <si>
    <t>Regional ADR ex-FX, % (converged)</t>
  </si>
  <si>
    <t>2025 nights-weighted was +3.54%; regional spread only 1.5pp.</t>
  </si>
  <si>
    <t>Geographic mix drag, pp</t>
  </si>
  <si>
    <t>Ran -1.1, -1.2, -1.6pp in 2023-25. Drive off the regional nights build.</t>
  </si>
  <si>
    <t>Interaction, pp</t>
  </si>
  <si>
    <t>Has been -0.05 to -0.11pp since 2023.</t>
  </si>
  <si>
    <t>FX contribution, pp  = 0.52 - 0.72 x USD y/y</t>
  </si>
  <si>
    <t>Fitted on 17 disclosed quarters, r 0.96, walk-forward 0.44x naive.</t>
  </si>
  <si>
    <t>ADR ex-FX y/y, %  = regional pricing + mix + interaction</t>
  </si>
  <si>
    <t>This is what the letters would report as ex-FX ADR. Note it is 1.5-1.8pp BELOW the regional pricing number - that gap is geographic mix.</t>
  </si>
  <si>
    <t>ADR y/y reported, %</t>
  </si>
  <si>
    <t>The printed number.</t>
  </si>
  <si>
    <t>Implied ADR level, $ (off 2Q26 $183.73)</t>
  </si>
  <si>
    <t>Illustrative level only - ADR is strongly seasonal (Q1 high, Q3 low), so compare like quarters.</t>
  </si>
  <si>
    <t>How to use this</t>
  </si>
  <si>
    <t>1. FX is the only term with demonstrated predictive power. Get the USD path right and you have removed the single largest source of ADR variance - it swung +5.0pp to -7.1pp.</t>
  </si>
  <si>
    <t>2. Geographic mix is the most reliably WRONG term in other people's models. It is disclosed in the 10-K and is negative every year. Do not leave it at zero.</t>
  </si>
  <si>
    <t>3. Regional pricing is one number now, not four. That is the convergence finding. If the regional spread re-widens above ~3pp, this simplification breaks and you go back to forecasting regions.</t>
  </si>
  <si>
    <t>4. Do not add a separate 'price' line driven off hotel CPI or RevPAR. It has no demonstrated relationship with Airbnb's ADR since the reopening.</t>
  </si>
  <si>
    <t>5. Sanity check: at base this scaffold gives ex-FX ADR around +1.5%, against the driver model's FY27 assumption of +2.5%. If the mix drag is real and regional pricing stays near 3.25%, the model's ADR is roughly 1pp too high.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</si>
</sst>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"/>
    <numFmt numFmtId="166" formatCode="0.0"/>
  </numFmts>
  <fonts count="5">
    <font>
      <sz val="11"/>
      <color theme="1"/>
      <name val="Calibri"/>
      <family val="2"/>
      <scheme val="minor"/>
    </font>
    <font>
      <b/>
      <sz val="15"/>
      <color rgb="FF1A1A1A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A556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DF2F7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</fills>
  <borders count="6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2" xfId="0" applyFont="1" applyFill="1" applyBorder="1" applyAlignment="1">
      <alignment vertical="center" wrapText="1"/>
    </xf>
    <xf numFmtId="0" fontId="0" fillId="0" borderId="3" xfId="0" applyBorder="1"/>
    <xf numFmtId="164" fontId="0" fillId="0" borderId="3" xfId="0" applyNumberFormat="1" applyBorder="1"/>
    <xf numFmtId="165" fontId="0" fillId="0" borderId="3" xfId="0" applyNumberFormat="1" applyBorder="1"/>
    <xf numFmtId="0" fontId="2" fillId="0" borderId="3" xfId="0" applyFont="1" applyBorder="1"/>
    <xf numFmtId="165" fontId="2" fillId="4" borderId="3" xfId="0" applyNumberFormat="1" applyFont="1" applyFill="1" applyBorder="1"/>
    <xf numFmtId="166" fontId="0" fillId="0" borderId="3" xfId="0" applyNumberFormat="1" applyBorder="1"/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165" fontId="0" fillId="6" borderId="4" xfId="0" applyNumberFormat="1" applyFill="1" applyBorder="1"/>
    <xf numFmtId="165" fontId="2" fillId="8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23"/>
  <sheetViews>
    <sheetView tabSelected="1" workbookViewId="0"/>
  </sheetViews>
  <sheetFormatPr defaultRowHeight="15"/>
  <cols>
    <col min="1" max="1" width="3.7109375" customWidth="1"/>
    <col min="2" max="2" width="30.7109375" customWidth="1"/>
    <col min="3" max="3" width="95.7109375" customWidth="1"/>
  </cols>
  <sheetData>
    <row r="2" spans="2:3">
      <c r="B2" s="1" t="s">
        <v>0</v>
      </c>
    </row>
    <row r="4" spans="2:3">
      <c r="B4" s="2" t="s">
        <v>1</v>
      </c>
      <c r="C4" s="3" t="s">
        <v>2</v>
      </c>
    </row>
    <row r="5" spans="2:3">
      <c r="B5" s="2" t="s">
        <v>3</v>
      </c>
      <c r="C5" s="3" t="s">
        <v>4</v>
      </c>
    </row>
    <row r="6" spans="2:3">
      <c r="B6" s="2" t="s">
        <v>5</v>
      </c>
      <c r="C6" s="3" t="s">
        <v>6</v>
      </c>
    </row>
    <row r="7" spans="2:3">
      <c r="B7" s="2" t="s">
        <v>7</v>
      </c>
      <c r="C7" s="3" t="s">
        <v>8</v>
      </c>
    </row>
    <row r="9" spans="2:3">
      <c r="B9" s="1" t="s">
        <v>9</v>
      </c>
    </row>
    <row r="10" spans="2:3">
      <c r="C10" s="2" t="s">
        <v>10</v>
      </c>
    </row>
    <row r="12" spans="2:3" ht="46" customHeight="1">
      <c r="B12" s="2" t="s">
        <v>11</v>
      </c>
      <c r="C12" s="3" t="s">
        <v>12</v>
      </c>
    </row>
    <row r="14" spans="2:3" ht="60" customHeight="1">
      <c r="B14" s="2" t="s">
        <v>13</v>
      </c>
      <c r="C14" s="3" t="s">
        <v>14</v>
      </c>
    </row>
    <row r="16" spans="2:3">
      <c r="B16" s="1" t="s">
        <v>15</v>
      </c>
    </row>
    <row r="17" spans="2:3" ht="40" customHeight="1">
      <c r="B17" s="2" t="s">
        <v>16</v>
      </c>
      <c r="C17" s="3" t="s">
        <v>17</v>
      </c>
    </row>
    <row r="18" spans="2:3" ht="40" customHeight="1">
      <c r="B18" s="2" t="s">
        <v>18</v>
      </c>
      <c r="C18" s="3" t="s">
        <v>19</v>
      </c>
    </row>
    <row r="19" spans="2:3" ht="40" customHeight="1">
      <c r="B19" s="2" t="s">
        <v>20</v>
      </c>
      <c r="C19" s="3" t="s">
        <v>21</v>
      </c>
    </row>
    <row r="20" spans="2:3" ht="40" customHeight="1">
      <c r="B20" s="2" t="s">
        <v>22</v>
      </c>
      <c r="C20" s="3" t="s">
        <v>23</v>
      </c>
    </row>
    <row r="21" spans="2:3" ht="40" customHeight="1">
      <c r="B21" s="2" t="s">
        <v>24</v>
      </c>
      <c r="C21" s="3" t="s">
        <v>25</v>
      </c>
    </row>
    <row r="23" spans="2:3" ht="60" customHeight="1">
      <c r="B23" s="2" t="s">
        <v>26</v>
      </c>
      <c r="C23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0.7109375" customWidth="1"/>
    <col min="2" max="5" width="13.7109375" customWidth="1"/>
    <col min="6" max="6" width="34.7109375" customWidth="1"/>
    <col min="7" max="7" width="15.7109375" customWidth="1"/>
  </cols>
  <sheetData>
    <row r="1" spans="1:7">
      <c r="A1" s="1" t="s">
        <v>28</v>
      </c>
    </row>
    <row r="2" spans="1:7">
      <c r="A2" s="4" t="s">
        <v>29</v>
      </c>
    </row>
    <row r="4" spans="1:7" ht="30" customHeight="1">
      <c r="A4" s="5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</row>
    <row r="5" spans="1:7">
      <c r="A5" s="6" t="s">
        <v>37</v>
      </c>
      <c r="B5" s="7">
        <v>122.36</v>
      </c>
      <c r="C5" s="8"/>
      <c r="D5" s="8">
        <v>-3.858794009076088</v>
      </c>
      <c r="E5" s="8"/>
      <c r="F5" s="6"/>
      <c r="G5" s="6"/>
    </row>
    <row r="6" spans="1:7">
      <c r="A6" s="6" t="s">
        <v>38</v>
      </c>
      <c r="B6" s="7">
        <v>117.14</v>
      </c>
      <c r="C6" s="8"/>
      <c r="D6" s="8">
        <v>-2.916988598894111</v>
      </c>
      <c r="E6" s="8"/>
      <c r="F6" s="6"/>
      <c r="G6" s="6"/>
    </row>
    <row r="7" spans="1:7">
      <c r="A7" s="6" t="s">
        <v>39</v>
      </c>
      <c r="B7" s="7">
        <v>112.39</v>
      </c>
      <c r="C7" s="8"/>
      <c r="D7" s="8">
        <v>-2.208007643441854</v>
      </c>
      <c r="E7" s="8"/>
      <c r="F7" s="6"/>
      <c r="G7" s="6"/>
    </row>
    <row r="8" spans="1:7">
      <c r="A8" s="6" t="s">
        <v>40</v>
      </c>
      <c r="B8" s="7">
        <v>112.63</v>
      </c>
      <c r="C8" s="8"/>
      <c r="D8" s="8">
        <v>-1.329955698661017</v>
      </c>
      <c r="E8" s="8"/>
      <c r="F8" s="6"/>
      <c r="G8" s="6"/>
    </row>
    <row r="9" spans="1:7">
      <c r="A9" s="6" t="s">
        <v>41</v>
      </c>
      <c r="B9" s="7">
        <v>118.45</v>
      </c>
      <c r="C9" s="8">
        <v>-3.195488721804507</v>
      </c>
      <c r="D9" s="8">
        <v>-2.175778527916855</v>
      </c>
      <c r="E9" s="8">
        <v>-1.019710193887652</v>
      </c>
      <c r="F9" s="6" t="s">
        <v>42</v>
      </c>
      <c r="G9" s="6" t="s">
        <v>43</v>
      </c>
    </row>
    <row r="10" spans="1:7">
      <c r="A10" s="6" t="s">
        <v>44</v>
      </c>
      <c r="B10" s="7">
        <v>114.18</v>
      </c>
      <c r="C10" s="8">
        <v>-2.526890899778034</v>
      </c>
      <c r="D10" s="8">
        <v>-2.86651343262458</v>
      </c>
      <c r="E10" s="8">
        <v>0.3396225328465463</v>
      </c>
      <c r="F10" s="6" t="s">
        <v>42</v>
      </c>
      <c r="G10" s="6" t="s">
        <v>43</v>
      </c>
    </row>
    <row r="11" spans="1:7">
      <c r="A11" s="6" t="s">
        <v>45</v>
      </c>
      <c r="B11" s="7">
        <v>129.95</v>
      </c>
      <c r="C11" s="8">
        <v>15.62416585105435</v>
      </c>
      <c r="D11" s="8">
        <v>0.2857381929303045</v>
      </c>
      <c r="E11" s="8">
        <v>15.33842765812404</v>
      </c>
      <c r="F11" s="6" t="s">
        <v>42</v>
      </c>
      <c r="G11" s="6" t="s">
        <v>43</v>
      </c>
    </row>
    <row r="12" spans="1:7">
      <c r="A12" s="6" t="s">
        <v>46</v>
      </c>
      <c r="B12" s="7">
        <v>127.56</v>
      </c>
      <c r="C12" s="8">
        <v>13.25579330551363</v>
      </c>
      <c r="D12" s="8">
        <v>1.2380585130413</v>
      </c>
      <c r="E12" s="8">
        <v>12.01773479247233</v>
      </c>
      <c r="F12" s="6" t="s">
        <v>42</v>
      </c>
      <c r="G12" s="6" t="s">
        <v>43</v>
      </c>
    </row>
    <row r="13" spans="1:7">
      <c r="A13" s="6" t="s">
        <v>47</v>
      </c>
      <c r="B13" s="7">
        <v>159.82</v>
      </c>
      <c r="C13" s="8">
        <v>34.92612916842548</v>
      </c>
      <c r="D13" s="8">
        <v>3.04159324037406</v>
      </c>
      <c r="E13" s="8">
        <v>31.88453592805142</v>
      </c>
      <c r="F13" s="6" t="s">
        <v>42</v>
      </c>
      <c r="G13" s="6" t="s">
        <v>43</v>
      </c>
    </row>
    <row r="14" spans="1:7">
      <c r="A14" s="6" t="s">
        <v>48</v>
      </c>
      <c r="B14" s="7">
        <v>161.45</v>
      </c>
      <c r="C14" s="8">
        <v>41.39954457873532</v>
      </c>
      <c r="D14" s="8">
        <v>4.912974053324923</v>
      </c>
      <c r="E14" s="8">
        <v>36.48657052541039</v>
      </c>
      <c r="F14" s="6" t="s">
        <v>42</v>
      </c>
      <c r="G14" s="6" t="s">
        <v>43</v>
      </c>
    </row>
    <row r="15" spans="1:7">
      <c r="A15" s="6" t="s">
        <v>49</v>
      </c>
      <c r="B15" s="7">
        <v>149.15</v>
      </c>
      <c r="C15" s="8">
        <v>14.77491342824164</v>
      </c>
      <c r="D15" s="8">
        <v>1.158748919448702</v>
      </c>
      <c r="E15" s="8">
        <v>13.61616450879294</v>
      </c>
      <c r="F15" s="6" t="s">
        <v>42</v>
      </c>
      <c r="G15" s="6" t="s">
        <v>50</v>
      </c>
    </row>
    <row r="16" spans="1:7">
      <c r="A16" s="6" t="s">
        <v>51</v>
      </c>
      <c r="B16" s="7">
        <v>153.61</v>
      </c>
      <c r="C16" s="8">
        <v>20.42176230793353</v>
      </c>
      <c r="D16" s="8">
        <v>-1.35735683757964</v>
      </c>
      <c r="E16" s="8">
        <v>21.77911914551317</v>
      </c>
      <c r="F16" s="6" t="s">
        <v>42</v>
      </c>
      <c r="G16" s="6" t="s">
        <v>50</v>
      </c>
    </row>
    <row r="17" spans="1:7">
      <c r="A17" s="6" t="s">
        <v>52</v>
      </c>
      <c r="B17" s="7">
        <v>168.07</v>
      </c>
      <c r="C17" s="8">
        <v>5.162057314478785</v>
      </c>
      <c r="D17" s="8">
        <v>-2.726565556626444</v>
      </c>
      <c r="E17" s="8">
        <v>7.888622871105229</v>
      </c>
      <c r="F17" s="6" t="s">
        <v>42</v>
      </c>
      <c r="G17" s="6" t="s">
        <v>50</v>
      </c>
    </row>
    <row r="18" spans="1:7">
      <c r="A18" s="6" t="s">
        <v>53</v>
      </c>
      <c r="B18" s="7">
        <v>163.74</v>
      </c>
      <c r="C18" s="8">
        <v>1.418395788169735</v>
      </c>
      <c r="D18" s="8">
        <v>-5.6</v>
      </c>
      <c r="E18" s="8">
        <v>7</v>
      </c>
      <c r="F18" s="6" t="s">
        <v>54</v>
      </c>
      <c r="G18" s="6" t="s">
        <v>50</v>
      </c>
    </row>
    <row r="19" spans="1:7">
      <c r="A19" s="6" t="s">
        <v>55</v>
      </c>
      <c r="B19" s="7">
        <v>156.44</v>
      </c>
      <c r="C19" s="8">
        <v>4.887696949379805</v>
      </c>
      <c r="D19" s="8">
        <v>-7.1</v>
      </c>
      <c r="E19" s="8">
        <v>12</v>
      </c>
      <c r="F19" s="6" t="s">
        <v>54</v>
      </c>
      <c r="G19" s="6" t="s">
        <v>50</v>
      </c>
    </row>
    <row r="20" spans="1:7">
      <c r="A20" s="6" t="s">
        <v>56</v>
      </c>
      <c r="B20" s="7">
        <v>152.81</v>
      </c>
      <c r="C20" s="8">
        <v>-0.5207994271206329</v>
      </c>
      <c r="D20" s="8">
        <v>-5.5</v>
      </c>
      <c r="E20" s="8">
        <v>5</v>
      </c>
      <c r="F20" s="6" t="s">
        <v>54</v>
      </c>
      <c r="G20" s="6" t="s">
        <v>50</v>
      </c>
    </row>
    <row r="21" spans="1:7">
      <c r="A21" s="6" t="s">
        <v>57</v>
      </c>
      <c r="B21" s="7">
        <v>168.43</v>
      </c>
      <c r="C21" s="8">
        <v>0.2141964657583317</v>
      </c>
      <c r="D21" s="8">
        <v>-2.8</v>
      </c>
      <c r="E21" s="8">
        <v>3</v>
      </c>
      <c r="F21" s="6" t="s">
        <v>54</v>
      </c>
      <c r="G21" s="6" t="s">
        <v>50</v>
      </c>
    </row>
    <row r="22" spans="1:7">
      <c r="A22" s="6" t="s">
        <v>58</v>
      </c>
      <c r="B22" s="7">
        <v>166.01</v>
      </c>
      <c r="C22" s="8">
        <v>1.386344204226209</v>
      </c>
      <c r="D22" s="8">
        <v>-0.6</v>
      </c>
      <c r="E22" s="8">
        <v>2</v>
      </c>
      <c r="F22" s="6" t="s">
        <v>54</v>
      </c>
      <c r="G22" s="6" t="s">
        <v>50</v>
      </c>
    </row>
    <row r="23" spans="1:7">
      <c r="A23" s="6" t="s">
        <v>59</v>
      </c>
      <c r="B23" s="7">
        <v>161.38</v>
      </c>
      <c r="C23" s="8">
        <v>3.157760163641021</v>
      </c>
      <c r="D23" s="8">
        <v>2.7</v>
      </c>
      <c r="E23" s="8">
        <v>0.5</v>
      </c>
      <c r="F23" s="6" t="s">
        <v>54</v>
      </c>
      <c r="G23" s="6" t="s">
        <v>50</v>
      </c>
    </row>
    <row r="24" spans="1:7">
      <c r="A24" s="6" t="s">
        <v>60</v>
      </c>
      <c r="B24" s="7">
        <v>156.73</v>
      </c>
      <c r="C24" s="8">
        <v>2.565277141548328</v>
      </c>
      <c r="D24" s="8">
        <v>2.1</v>
      </c>
      <c r="E24" s="8">
        <v>0.5</v>
      </c>
      <c r="F24" s="6" t="s">
        <v>54</v>
      </c>
      <c r="G24" s="6" t="s">
        <v>50</v>
      </c>
    </row>
    <row r="25" spans="1:7">
      <c r="A25" s="6" t="s">
        <v>61</v>
      </c>
      <c r="B25" s="7">
        <v>172.88</v>
      </c>
      <c r="C25" s="8">
        <v>2.642047141245607</v>
      </c>
      <c r="D25" s="8">
        <v>0.6</v>
      </c>
      <c r="E25" s="8">
        <v>2</v>
      </c>
      <c r="F25" s="6" t="s">
        <v>54</v>
      </c>
      <c r="G25" s="6" t="s">
        <v>50</v>
      </c>
    </row>
    <row r="26" spans="1:7">
      <c r="A26" s="6" t="s">
        <v>62</v>
      </c>
      <c r="B26" s="7">
        <v>169.53</v>
      </c>
      <c r="C26" s="8">
        <v>2.120354195530405</v>
      </c>
      <c r="D26" s="8">
        <v>-0.9</v>
      </c>
      <c r="E26" s="8">
        <v>3</v>
      </c>
      <c r="F26" s="6" t="s">
        <v>54</v>
      </c>
      <c r="G26" s="6" t="s">
        <v>50</v>
      </c>
    </row>
    <row r="27" spans="1:7">
      <c r="A27" s="6" t="s">
        <v>63</v>
      </c>
      <c r="B27" s="7">
        <v>163.64</v>
      </c>
      <c r="C27" s="8">
        <v>1.40042136572065</v>
      </c>
      <c r="D27" s="8">
        <v>-0.6</v>
      </c>
      <c r="E27" s="8">
        <v>2</v>
      </c>
      <c r="F27" s="6" t="s">
        <v>54</v>
      </c>
      <c r="G27" s="6" t="s">
        <v>50</v>
      </c>
    </row>
    <row r="28" spans="1:7">
      <c r="A28" s="6" t="s">
        <v>64</v>
      </c>
      <c r="B28" s="7">
        <v>158.13</v>
      </c>
      <c r="C28" s="8">
        <v>0.8932559178204569</v>
      </c>
      <c r="D28" s="8">
        <v>-1.1</v>
      </c>
      <c r="E28" s="8">
        <v>2</v>
      </c>
      <c r="F28" s="6" t="s">
        <v>54</v>
      </c>
      <c r="G28" s="6" t="s">
        <v>50</v>
      </c>
    </row>
    <row r="29" spans="1:7">
      <c r="A29" s="6" t="s">
        <v>65</v>
      </c>
      <c r="B29" s="7">
        <v>171.34</v>
      </c>
      <c r="C29" s="8">
        <v>-0.8907913003239232</v>
      </c>
      <c r="D29" s="8">
        <v>-1.9</v>
      </c>
      <c r="E29" s="8">
        <v>1</v>
      </c>
      <c r="F29" s="6" t="s">
        <v>54</v>
      </c>
      <c r="G29" s="6" t="s">
        <v>50</v>
      </c>
    </row>
    <row r="30" spans="1:7">
      <c r="A30" s="6" t="s">
        <v>66</v>
      </c>
      <c r="B30" s="7">
        <v>174.48</v>
      </c>
      <c r="C30" s="8">
        <v>2.919837196956276</v>
      </c>
      <c r="D30" s="8">
        <v>1.9</v>
      </c>
      <c r="E30" s="8">
        <v>1</v>
      </c>
      <c r="F30" s="6" t="s">
        <v>54</v>
      </c>
      <c r="G30" s="6" t="s">
        <v>50</v>
      </c>
    </row>
    <row r="31" spans="1:7">
      <c r="A31" s="6" t="s">
        <v>67</v>
      </c>
      <c r="B31" s="7">
        <v>171.29</v>
      </c>
      <c r="C31" s="8">
        <v>4.674896113419713</v>
      </c>
      <c r="D31" s="8">
        <v>2.7</v>
      </c>
      <c r="E31" s="8">
        <v>2</v>
      </c>
      <c r="F31" s="6" t="s">
        <v>54</v>
      </c>
      <c r="G31" s="6" t="s">
        <v>50</v>
      </c>
    </row>
    <row r="32" spans="1:7">
      <c r="A32" s="6" t="s">
        <v>68</v>
      </c>
      <c r="B32" s="7">
        <v>167.51</v>
      </c>
      <c r="C32" s="8">
        <v>5.931828242585202</v>
      </c>
      <c r="D32" s="8">
        <v>2.9</v>
      </c>
      <c r="E32" s="8">
        <v>3</v>
      </c>
      <c r="F32" s="6" t="s">
        <v>54</v>
      </c>
      <c r="G32" s="6" t="s">
        <v>50</v>
      </c>
    </row>
    <row r="33" spans="1:7">
      <c r="A33" s="6" t="s">
        <v>69</v>
      </c>
      <c r="B33" s="7">
        <v>186.82</v>
      </c>
      <c r="C33" s="8">
        <v>9.034667911754401</v>
      </c>
      <c r="D33" s="8">
        <v>5</v>
      </c>
      <c r="E33" s="8">
        <v>4</v>
      </c>
      <c r="F33" s="6" t="s">
        <v>54</v>
      </c>
      <c r="G33" s="6" t="s">
        <v>50</v>
      </c>
    </row>
    <row r="34" spans="1:7">
      <c r="A34" s="6" t="s">
        <v>70</v>
      </c>
      <c r="B34" s="7">
        <v>183.73</v>
      </c>
      <c r="C34" s="8">
        <v>5.30146721687299</v>
      </c>
      <c r="D34" s="8">
        <v>1.3</v>
      </c>
      <c r="E34" s="8">
        <v>4</v>
      </c>
      <c r="F34" s="6" t="s">
        <v>54</v>
      </c>
      <c r="G34" s="6" t="s">
        <v>50</v>
      </c>
    </row>
  </sheetData>
  <conditionalFormatting sqref="E5:E34">
    <cfRule type="colorScale" priority="1">
      <colorScale>
        <cfvo type="min" val="0"/>
        <cfvo type="percentile" val="50"/>
        <cfvo type="max" val="0"/>
        <color rgb="FFFEE2E2"/>
        <color rgb="FFFEF3C7"/>
        <color rgb="FFD1FAE5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42.7109375" customWidth="1"/>
    <col min="2" max="5" width="12.7109375" customWidth="1"/>
    <col min="6" max="6" width="60.7109375" customWidth="1"/>
  </cols>
  <sheetData>
    <row r="1" spans="1:7">
      <c r="A1" s="1" t="s">
        <v>71</v>
      </c>
    </row>
    <row r="2" spans="1:7">
      <c r="A2" s="4" t="s">
        <v>72</v>
      </c>
    </row>
    <row r="4" spans="1:7" ht="30" customHeight="1">
      <c r="A4" s="5" t="s">
        <v>73</v>
      </c>
      <c r="B4" s="5">
        <v>2021</v>
      </c>
      <c r="C4" s="5">
        <v>2022</v>
      </c>
      <c r="D4" s="5">
        <v>2023</v>
      </c>
      <c r="E4" s="5">
        <v>2024</v>
      </c>
      <c r="F4" s="5">
        <v>2025</v>
      </c>
      <c r="G4" s="5" t="s">
        <v>74</v>
      </c>
    </row>
    <row r="5" spans="1:7">
      <c r="A5" s="9" t="s">
        <v>75</v>
      </c>
      <c r="B5" s="10">
        <v>26.05860955486219</v>
      </c>
      <c r="C5" s="10">
        <v>2.679629935033434</v>
      </c>
      <c r="D5" s="10">
        <v>2.146773286506986</v>
      </c>
      <c r="E5" s="10">
        <v>1.643582326047577</v>
      </c>
      <c r="F5" s="10">
        <v>3.017705174606311</v>
      </c>
      <c r="G5" s="3" t="s">
        <v>76</v>
      </c>
    </row>
    <row r="6" spans="1:7">
      <c r="A6" s="6" t="s">
        <v>77</v>
      </c>
      <c r="B6" s="8">
        <v>-0.5022055991685311</v>
      </c>
      <c r="C6" s="8">
        <v>-2.748221840241593</v>
      </c>
      <c r="D6" s="8">
        <v>-1.082822438200355</v>
      </c>
      <c r="E6" s="8">
        <v>-1.243873689849062</v>
      </c>
      <c r="F6" s="8">
        <v>-1.583716388165144</v>
      </c>
      <c r="G6" s="3" t="s">
        <v>78</v>
      </c>
    </row>
    <row r="7" spans="1:7">
      <c r="A7" s="6" t="s">
        <v>79</v>
      </c>
      <c r="B7" s="8">
        <v>2.085831915188181</v>
      </c>
      <c r="C7" s="8">
        <v>-3.837755192802531</v>
      </c>
      <c r="D7" s="8">
        <v>0.8488690246695254</v>
      </c>
      <c r="E7" s="8">
        <v>-0.2172762084492354</v>
      </c>
      <c r="F7" s="8">
        <v>1.057150293712707</v>
      </c>
      <c r="G7" s="3" t="s">
        <v>80</v>
      </c>
    </row>
    <row r="8" spans="1:7">
      <c r="A8" s="6" t="s">
        <v>81</v>
      </c>
      <c r="B8" s="8">
        <v>0.2691140710941719</v>
      </c>
      <c r="C8" s="8">
        <v>0.2620573662116254</v>
      </c>
      <c r="D8" s="8">
        <v>0.6174491393177295</v>
      </c>
      <c r="E8" s="8">
        <v>0.2054051867943019</v>
      </c>
      <c r="F8" s="8">
        <v>0.0357123713443286</v>
      </c>
      <c r="G8" s="3" t="s">
        <v>82</v>
      </c>
    </row>
    <row r="9" spans="1:7">
      <c r="A9" s="6" t="s">
        <v>83</v>
      </c>
      <c r="B9" s="8"/>
      <c r="C9" s="8"/>
      <c r="D9" s="8"/>
      <c r="E9" s="8">
        <v>0.4410509947887275</v>
      </c>
      <c r="F9" s="8">
        <v>-0.2513387080576912</v>
      </c>
      <c r="G9" s="3" t="s">
        <v>84</v>
      </c>
    </row>
    <row r="10" spans="1:7">
      <c r="A10" s="6" t="s">
        <v>85</v>
      </c>
      <c r="B10" s="8"/>
      <c r="C10" s="8">
        <v>6.726</v>
      </c>
      <c r="D10" s="8">
        <v>2.211</v>
      </c>
      <c r="E10" s="8">
        <v>1.611</v>
      </c>
      <c r="F10" s="8">
        <v>-0.097</v>
      </c>
      <c r="G10" s="3" t="s">
        <v>86</v>
      </c>
    </row>
    <row r="11" spans="1:7">
      <c r="A11" s="6" t="s">
        <v>87</v>
      </c>
      <c r="B11" s="8">
        <v>-0.2176384507396221</v>
      </c>
      <c r="C11" s="8">
        <v>-0.394494037485312</v>
      </c>
      <c r="D11" s="8">
        <v>-0.0494786368971566</v>
      </c>
      <c r="E11" s="8">
        <v>-0.1065834527970392</v>
      </c>
      <c r="F11" s="8">
        <v>-0.1083206075608631</v>
      </c>
      <c r="G11" s="3" t="s">
        <v>88</v>
      </c>
    </row>
    <row r="12" spans="1:7">
      <c r="A12" s="9" t="s">
        <v>89</v>
      </c>
      <c r="B12" s="10"/>
      <c r="C12" s="10">
        <v>2.672043639351243</v>
      </c>
      <c r="D12" s="10">
        <v>-0.3982438023827614</v>
      </c>
      <c r="E12" s="10">
        <v>0.9538594955599092</v>
      </c>
      <c r="F12" s="10">
        <v>3.965218213332953</v>
      </c>
      <c r="G12" s="3" t="s">
        <v>90</v>
      </c>
    </row>
    <row r="13" spans="1:7">
      <c r="A13" s="6" t="s">
        <v>91</v>
      </c>
      <c r="B13" s="8"/>
      <c r="C13" s="8">
        <v>99.7168901726687</v>
      </c>
      <c r="D13" s="8">
        <v>18.55080855001432</v>
      </c>
      <c r="E13" s="8">
        <v>58.03539502969186</v>
      </c>
      <c r="F13" s="8">
        <v>131.3984628684031</v>
      </c>
      <c r="G13" s="3"/>
    </row>
    <row r="15" spans="1:7">
      <c r="A15" s="2" t="s">
        <v>92</v>
      </c>
      <c r="B15" s="6" t="s">
        <v>93</v>
      </c>
      <c r="C15" s="6" t="s">
        <v>94</v>
      </c>
      <c r="D15" s="6" t="s">
        <v>94</v>
      </c>
      <c r="E15" s="6" t="s">
        <v>95</v>
      </c>
      <c r="F15" s="6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24.7109375" customWidth="1"/>
    <col min="2" max="7" width="12.7109375" customWidth="1"/>
  </cols>
  <sheetData>
    <row r="1" spans="1:7">
      <c r="A1" s="1" t="s">
        <v>97</v>
      </c>
    </row>
    <row r="2" spans="1:7">
      <c r="A2" s="4" t="s">
        <v>98</v>
      </c>
    </row>
    <row r="4" spans="1:7">
      <c r="A4" s="2" t="s">
        <v>99</v>
      </c>
      <c r="B4" s="5">
        <v>2020</v>
      </c>
      <c r="C4" s="5">
        <v>2021</v>
      </c>
      <c r="D4" s="5">
        <v>2022</v>
      </c>
      <c r="E4" s="5">
        <v>2023</v>
      </c>
      <c r="F4" s="5">
        <v>2024</v>
      </c>
      <c r="G4" s="5">
        <v>2025</v>
      </c>
    </row>
    <row r="5" spans="1:7">
      <c r="A5" s="6" t="s">
        <v>100</v>
      </c>
      <c r="B5" s="7">
        <v>174.43</v>
      </c>
      <c r="C5" s="7">
        <v>221.92</v>
      </c>
      <c r="D5" s="7">
        <v>240.29</v>
      </c>
      <c r="E5" s="7">
        <v>239.3219178082192</v>
      </c>
      <c r="F5" s="7">
        <v>245.5584415584416</v>
      </c>
      <c r="G5" s="7">
        <v>255.0316455696203</v>
      </c>
    </row>
    <row r="6" spans="1:7">
      <c r="A6" s="6" t="s">
        <v>101</v>
      </c>
      <c r="B6" s="7">
        <v>98.41</v>
      </c>
      <c r="C6" s="7">
        <v>123.71</v>
      </c>
      <c r="D6" s="7">
        <v>127.99</v>
      </c>
      <c r="E6" s="7">
        <v>140.4</v>
      </c>
      <c r="F6" s="7">
        <v>148.0099502487562</v>
      </c>
      <c r="G6" s="7">
        <v>158.8930232558139</v>
      </c>
    </row>
    <row r="7" spans="1:7">
      <c r="A7" s="6" t="s">
        <v>102</v>
      </c>
      <c r="B7" s="7">
        <v>75.73999999999999</v>
      </c>
      <c r="C7" s="7">
        <v>95.42</v>
      </c>
      <c r="D7" s="7">
        <v>92.89</v>
      </c>
      <c r="E7" s="7">
        <v>94.59375</v>
      </c>
      <c r="F7" s="7">
        <v>93.31578947368421</v>
      </c>
      <c r="G7" s="7">
        <v>94.91111111111113</v>
      </c>
    </row>
    <row r="8" spans="1:7">
      <c r="A8" s="6" t="s">
        <v>103</v>
      </c>
      <c r="B8" s="7">
        <v>85.83</v>
      </c>
      <c r="C8" s="7">
        <v>109.75</v>
      </c>
      <c r="D8" s="7">
        <v>117.41</v>
      </c>
      <c r="E8" s="7">
        <v>117.9607843137255</v>
      </c>
      <c r="F8" s="7">
        <v>116.8196721311475</v>
      </c>
      <c r="G8" s="7">
        <v>118.2</v>
      </c>
    </row>
    <row r="10" spans="1:7">
      <c r="A10" s="2" t="s">
        <v>104</v>
      </c>
      <c r="B10" s="5">
        <v>2020</v>
      </c>
      <c r="C10" s="5">
        <v>2021</v>
      </c>
      <c r="D10" s="5">
        <v>2022</v>
      </c>
      <c r="E10" s="5">
        <v>2023</v>
      </c>
      <c r="F10" s="5">
        <v>2024</v>
      </c>
      <c r="G10" s="5">
        <v>2025</v>
      </c>
    </row>
    <row r="11" spans="1:7">
      <c r="A11" s="6" t="s">
        <v>100</v>
      </c>
      <c r="B11" s="11"/>
      <c r="C11" s="11">
        <v>26.54657124634523</v>
      </c>
      <c r="D11" s="11">
        <v>8.549957750540736</v>
      </c>
      <c r="E11" s="11">
        <v>-0.3893307656501599</v>
      </c>
      <c r="F11" s="11">
        <v>2.773114162538192</v>
      </c>
      <c r="G11" s="11">
        <v>4.100920546122048</v>
      </c>
    </row>
    <row r="12" spans="1:7">
      <c r="A12" s="6" t="s">
        <v>101</v>
      </c>
      <c r="B12" s="11"/>
      <c r="C12" s="11">
        <v>21.0255194340006</v>
      </c>
      <c r="D12" s="11">
        <v>14.05314414679493</v>
      </c>
      <c r="E12" s="11">
        <v>7.390390005469191</v>
      </c>
      <c r="F12" s="11">
        <v>4.681402484869091</v>
      </c>
      <c r="G12" s="11">
        <v>3.276913359390268</v>
      </c>
    </row>
    <row r="13" spans="1:7">
      <c r="A13" s="6" t="s">
        <v>102</v>
      </c>
      <c r="B13" s="11"/>
      <c r="C13" s="11">
        <v>26.14118570174282</v>
      </c>
      <c r="D13" s="11">
        <v>-4.463819757702791</v>
      </c>
      <c r="E13" s="11">
        <v>-2.479847817687597</v>
      </c>
      <c r="F13" s="11">
        <v>1.539704595404509</v>
      </c>
      <c r="G13" s="11">
        <v>3.890119035313675</v>
      </c>
    </row>
    <row r="14" spans="1:7">
      <c r="A14" s="6" t="s">
        <v>103</v>
      </c>
      <c r="B14" s="11"/>
      <c r="C14" s="11">
        <v>23.66194495799837</v>
      </c>
      <c r="D14" s="11">
        <v>14.62801636104783</v>
      </c>
      <c r="E14" s="11">
        <v>4.053978927199961</v>
      </c>
      <c r="F14" s="11">
        <v>1.022867786710852</v>
      </c>
      <c r="G14" s="11">
        <v>2.605426048975587</v>
      </c>
    </row>
    <row r="16" spans="1:7">
      <c r="A16" s="2" t="s">
        <v>105</v>
      </c>
      <c r="B16" s="5">
        <v>2020</v>
      </c>
      <c r="C16" s="5">
        <v>2021</v>
      </c>
      <c r="D16" s="5">
        <v>2022</v>
      </c>
      <c r="E16" s="5">
        <v>2023</v>
      </c>
      <c r="F16" s="5">
        <v>2024</v>
      </c>
      <c r="G16" s="5">
        <v>2025</v>
      </c>
    </row>
    <row r="17" spans="1:7">
      <c r="A17" s="6" t="s">
        <v>100</v>
      </c>
      <c r="B17" s="11">
        <v>39.07867494824017</v>
      </c>
      <c r="C17" s="11">
        <v>37.92415169660679</v>
      </c>
      <c r="D17" s="11">
        <v>33.75634517766498</v>
      </c>
      <c r="E17" s="11">
        <v>32.58928571428572</v>
      </c>
      <c r="F17" s="11">
        <v>31.30081300813008</v>
      </c>
      <c r="G17" s="11">
        <v>29.64352720450281</v>
      </c>
    </row>
    <row r="18" spans="1:7">
      <c r="A18" s="6" t="s">
        <v>101</v>
      </c>
      <c r="B18" s="11">
        <v>35.04140786749483</v>
      </c>
      <c r="C18" s="11">
        <v>39.28809048569528</v>
      </c>
      <c r="D18" s="11">
        <v>42.63959390862944</v>
      </c>
      <c r="E18" s="11">
        <v>41.74107142857143</v>
      </c>
      <c r="F18" s="11">
        <v>40.85365853658536</v>
      </c>
      <c r="G18" s="11">
        <v>40.33771106941839</v>
      </c>
    </row>
    <row r="19" spans="1:7">
      <c r="A19" s="6" t="s">
        <v>102</v>
      </c>
      <c r="B19" s="11">
        <v>11.59420289855072</v>
      </c>
      <c r="C19" s="11">
        <v>12.90751829673985</v>
      </c>
      <c r="D19" s="11">
        <v>13.45177664974619</v>
      </c>
      <c r="E19" s="11">
        <v>14.28571428571429</v>
      </c>
      <c r="F19" s="11">
        <v>15.44715447154472</v>
      </c>
      <c r="G19" s="11">
        <v>16.88555347091932</v>
      </c>
    </row>
    <row r="20" spans="1:7">
      <c r="A20" s="6" t="s">
        <v>103</v>
      </c>
      <c r="B20" s="11">
        <v>14.28571428571429</v>
      </c>
      <c r="C20" s="11">
        <v>9.880239520958083</v>
      </c>
      <c r="D20" s="11">
        <v>10.15228426395939</v>
      </c>
      <c r="E20" s="11">
        <v>11.38392857142857</v>
      </c>
      <c r="F20" s="11">
        <v>12.39837398373984</v>
      </c>
      <c r="G20" s="11">
        <v>13.13320825515948</v>
      </c>
    </row>
    <row r="22" spans="1:7">
      <c r="A22" s="2" t="s">
        <v>106</v>
      </c>
      <c r="B22" s="5">
        <v>2020</v>
      </c>
      <c r="C22" s="5">
        <v>2021</v>
      </c>
      <c r="D22" s="5">
        <v>2022</v>
      </c>
      <c r="E22" s="5">
        <v>2023</v>
      </c>
      <c r="F22" s="5">
        <v>2024</v>
      </c>
      <c r="G22" s="5">
        <v>2025</v>
      </c>
    </row>
    <row r="23" spans="1:7">
      <c r="A23" s="9" t="s">
        <v>107</v>
      </c>
      <c r="B23" s="10"/>
      <c r="C23" s="10">
        <v>5.521051812344627</v>
      </c>
      <c r="D23" s="10">
        <v>19.09183611875062</v>
      </c>
      <c r="E23" s="10">
        <v>9.870237823156788</v>
      </c>
      <c r="F23" s="10">
        <v>3.658534698158239</v>
      </c>
      <c r="G23" s="10">
        <v>1.495494497146461</v>
      </c>
    </row>
    <row r="25" spans="1:7" ht="30" customHeight="1">
      <c r="A25" s="4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6.7109375" customWidth="1"/>
    <col min="2" max="2" width="11.7109375" customWidth="1"/>
    <col min="3" max="3" width="46.7109375" customWidth="1"/>
    <col min="4" max="4" width="52.7109375" customWidth="1"/>
  </cols>
  <sheetData>
    <row r="1" spans="1:4">
      <c r="A1" s="1" t="s">
        <v>109</v>
      </c>
    </row>
    <row r="2" spans="1:4">
      <c r="A2" s="4" t="s">
        <v>110</v>
      </c>
    </row>
    <row r="4" spans="1:4" ht="34" customHeight="1">
      <c r="A4" s="5" t="s">
        <v>73</v>
      </c>
      <c r="B4" s="5" t="s">
        <v>111</v>
      </c>
      <c r="C4" s="5" t="s">
        <v>112</v>
      </c>
      <c r="D4" s="5" t="s">
        <v>113</v>
      </c>
    </row>
    <row r="5" spans="1:4" ht="62" customHeight="1">
      <c r="A5" s="9" t="s">
        <v>79</v>
      </c>
      <c r="B5" s="12" t="s">
        <v>114</v>
      </c>
      <c r="C5" s="3" t="s">
        <v>115</v>
      </c>
      <c r="D5" s="3" t="s">
        <v>116</v>
      </c>
    </row>
    <row r="6" spans="1:4" ht="62" customHeight="1">
      <c r="A6" s="9" t="s">
        <v>77</v>
      </c>
      <c r="B6" s="12" t="s">
        <v>114</v>
      </c>
      <c r="C6" s="3" t="s">
        <v>117</v>
      </c>
      <c r="D6" s="3" t="s">
        <v>118</v>
      </c>
    </row>
    <row r="7" spans="1:4" ht="62" customHeight="1">
      <c r="A7" s="9" t="s">
        <v>119</v>
      </c>
      <c r="B7" s="13" t="s">
        <v>120</v>
      </c>
      <c r="C7" s="3" t="s">
        <v>121</v>
      </c>
      <c r="D7" s="3" t="s">
        <v>122</v>
      </c>
    </row>
    <row r="8" spans="1:4" ht="62" customHeight="1">
      <c r="A8" s="9" t="s">
        <v>83</v>
      </c>
      <c r="B8" s="13" t="s">
        <v>123</v>
      </c>
      <c r="C8" s="3" t="s">
        <v>124</v>
      </c>
      <c r="D8" s="3" t="s">
        <v>125</v>
      </c>
    </row>
    <row r="9" spans="1:4" ht="62" customHeight="1">
      <c r="A9" s="9" t="s">
        <v>81</v>
      </c>
      <c r="B9" s="14" t="s">
        <v>126</v>
      </c>
      <c r="C9" s="3" t="s">
        <v>127</v>
      </c>
      <c r="D9" s="3" t="s">
        <v>128</v>
      </c>
    </row>
    <row r="10" spans="1:4" ht="62" customHeight="1">
      <c r="A10" s="9" t="s">
        <v>129</v>
      </c>
      <c r="B10" s="14" t="s">
        <v>130</v>
      </c>
      <c r="C10" s="3" t="s">
        <v>131</v>
      </c>
      <c r="D10" s="3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40.7109375" customWidth="1"/>
    <col min="2" max="4" width="14.7109375" customWidth="1"/>
    <col min="5" max="5" width="58.7109375" customWidth="1"/>
  </cols>
  <sheetData>
    <row r="1" spans="1:5">
      <c r="A1" s="1" t="s">
        <v>133</v>
      </c>
    </row>
    <row r="2" spans="1:5">
      <c r="A2" s="4" t="s">
        <v>134</v>
      </c>
    </row>
    <row r="4" spans="1:5">
      <c r="A4" s="5" t="s">
        <v>135</v>
      </c>
      <c r="B4" s="5" t="s">
        <v>136</v>
      </c>
      <c r="C4" s="5" t="s">
        <v>137</v>
      </c>
      <c r="D4" s="5" t="s">
        <v>138</v>
      </c>
      <c r="E4" s="5" t="s">
        <v>35</v>
      </c>
    </row>
    <row r="5" spans="1:5" ht="26" customHeight="1">
      <c r="A5" s="6" t="s">
        <v>139</v>
      </c>
      <c r="B5" s="15">
        <v>3</v>
      </c>
      <c r="C5" s="15">
        <v>0</v>
      </c>
      <c r="D5" s="15">
        <v>-3</v>
      </c>
      <c r="E5" s="3" t="s">
        <v>140</v>
      </c>
    </row>
    <row r="6" spans="1:5" ht="26" customHeight="1">
      <c r="A6" s="6" t="s">
        <v>141</v>
      </c>
      <c r="B6" s="15">
        <v>2</v>
      </c>
      <c r="C6" s="15">
        <v>3.25</v>
      </c>
      <c r="D6" s="15">
        <v>4</v>
      </c>
      <c r="E6" s="3" t="s">
        <v>142</v>
      </c>
    </row>
    <row r="7" spans="1:5" ht="26" customHeight="1">
      <c r="A7" s="6" t="s">
        <v>143</v>
      </c>
      <c r="B7" s="15">
        <v>-2</v>
      </c>
      <c r="C7" s="15">
        <v>-1.7</v>
      </c>
      <c r="D7" s="15">
        <v>-1.2</v>
      </c>
      <c r="E7" s="3" t="s">
        <v>144</v>
      </c>
    </row>
    <row r="8" spans="1:5" ht="26" customHeight="1">
      <c r="A8" s="6" t="s">
        <v>145</v>
      </c>
      <c r="B8" s="15">
        <v>-0.15</v>
      </c>
      <c r="C8" s="15">
        <v>-0.1</v>
      </c>
      <c r="D8" s="15">
        <v>-0.05</v>
      </c>
      <c r="E8" s="3" t="s">
        <v>146</v>
      </c>
    </row>
    <row r="10" spans="1:5">
      <c r="A10" s="9" t="s">
        <v>147</v>
      </c>
      <c r="B10" s="16">
        <f>0.52-0.72*B5</f>
        <v>0</v>
      </c>
      <c r="C10" s="16">
        <f>0.52-0.72*C5</f>
        <v>0</v>
      </c>
      <c r="D10" s="16">
        <f>0.52-0.72*D5</f>
        <v>0</v>
      </c>
      <c r="E10" s="3" t="s">
        <v>148</v>
      </c>
    </row>
    <row r="12" spans="1:5" ht="30" customHeight="1">
      <c r="A12" s="9" t="s">
        <v>149</v>
      </c>
      <c r="B12" s="16">
        <f>B6+B7+B8</f>
        <v>0</v>
      </c>
      <c r="C12" s="16">
        <f>C6+C7+C8</f>
        <v>0</v>
      </c>
      <c r="D12" s="16">
        <f>D6+D7+D8</f>
        <v>0</v>
      </c>
      <c r="E12" s="3" t="s">
        <v>150</v>
      </c>
    </row>
    <row r="13" spans="1:5">
      <c r="A13" s="9" t="s">
        <v>151</v>
      </c>
      <c r="B13" s="16">
        <f>B12+B10</f>
        <v>0</v>
      </c>
      <c r="C13" s="16">
        <f>C12+C10</f>
        <v>0</v>
      </c>
      <c r="D13" s="16">
        <f>D12+D10</f>
        <v>0</v>
      </c>
      <c r="E13" s="3" t="s">
        <v>152</v>
      </c>
    </row>
    <row r="14" spans="1:5">
      <c r="A14" s="9" t="s">
        <v>153</v>
      </c>
      <c r="B14" s="7">
        <f>183.73*(1+B13/100)</f>
        <v>0</v>
      </c>
      <c r="C14" s="7">
        <f>183.73*(1+C13/100)</f>
        <v>0</v>
      </c>
      <c r="D14" s="7">
        <f>183.73*(1+D13/100)</f>
        <v>0</v>
      </c>
      <c r="E14" s="3" t="s">
        <v>154</v>
      </c>
    </row>
    <row r="17" spans="1:5">
      <c r="A17" s="1" t="s">
        <v>155</v>
      </c>
    </row>
    <row r="18" spans="1:5" ht="30" customHeight="1">
      <c r="A18" s="3" t="s">
        <v>156</v>
      </c>
      <c r="B18" s="3"/>
      <c r="C18" s="3"/>
      <c r="D18" s="3"/>
      <c r="E18" s="3"/>
    </row>
    <row r="19" spans="1:5" ht="30" customHeight="1">
      <c r="A19" s="3" t="s">
        <v>157</v>
      </c>
      <c r="B19" s="3"/>
      <c r="C19" s="3"/>
      <c r="D19" s="3"/>
      <c r="E19" s="3"/>
    </row>
    <row r="20" spans="1:5" ht="30" customHeight="1">
      <c r="A20" s="3" t="s">
        <v>158</v>
      </c>
      <c r="B20" s="3"/>
      <c r="C20" s="3"/>
      <c r="D20" s="3"/>
      <c r="E20" s="3"/>
    </row>
    <row r="21" spans="1:5" ht="30" customHeight="1">
      <c r="A21" s="3" t="s">
        <v>159</v>
      </c>
      <c r="B21" s="3"/>
      <c r="C21" s="3"/>
      <c r="D21" s="3"/>
      <c r="E21" s="3"/>
    </row>
    <row r="22" spans="1:5" ht="30" customHeight="1">
      <c r="A22" s="3" t="s">
        <v>160</v>
      </c>
      <c r="B22" s="3"/>
      <c r="C22" s="3"/>
      <c r="D22" s="3"/>
      <c r="E22" s="3"/>
    </row>
  </sheetData>
  <mergeCells count="5">
    <mergeCell ref="A18:E18"/>
    <mergeCell ref="A19:E19"/>
    <mergeCell ref="A20:E20"/>
    <mergeCell ref="A21:E21"/>
    <mergeCell ref="A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0_README</vt:lpstr>
      <vt:lpstr>1_History</vt:lpstr>
      <vt:lpstr>2_Decomposition</vt:lpstr>
      <vt:lpstr>3_Regional</vt:lpstr>
      <vt:lpstr>4_Drivers</vt:lpstr>
      <vt:lpstr>5_Forecast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2026-09-08T18:11:39Z</dcterms:created>
  <dcterms:modified xsi:type="dcterms:W3CDTF">2026-09-08T18:11:39Z</dcterms:modified>
</cp:coreProperties>
</file>