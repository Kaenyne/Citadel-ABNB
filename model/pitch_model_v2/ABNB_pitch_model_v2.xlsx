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Drivers" sheetId="2" state="visible" r:id="rId2"/>
    <sheet name="Revenue and Guide" sheetId="3" state="visible" r:id="rId3"/>
    <sheet name="Costs and Earnings" sheetId="4" state="visible" r:id="rId4"/>
    <sheet name="Valuation and Call" sheetId="5" state="visible" r:id="rId5"/>
    <sheet name="5 Nov Event Card" sheetId="6" state="visible" r:id="rId6"/>
    <sheet name="Street" sheetId="7" state="visible" r:id="rId7"/>
    <sheet name="Evidence" sheetId="8" state="visible" r:id="rId8"/>
    <sheet name="Decision Log" sheetId="9" state="visible" r:id="rId9"/>
    <sheet name="Scenario Data" sheetId="10" state="visible" r:id="rId10"/>
  </sheets>
  <definedNames>
    <definedName name="Scenario">'Cover'!$B$4</definedName>
    <definedName name="NIGHTS_1Q23">'Drivers'!$E$2</definedName>
    <definedName name="NIGHTS_2Q23">'Drivers'!$F$2</definedName>
    <definedName name="NIGHTS_3Q23">'Drivers'!$G$2</definedName>
    <definedName name="NIGHTS_4Q23">'Drivers'!$H$2</definedName>
    <definedName name="NIGHTS_1Q24">'Drivers'!$I$2</definedName>
    <definedName name="NIGHTS_2Q24">'Drivers'!$J$2</definedName>
    <definedName name="NIGHTS_3Q24">'Drivers'!$K$2</definedName>
    <definedName name="NIGHTS_4Q24">'Drivers'!$L$2</definedName>
    <definedName name="NIGHTS_1Q25">'Drivers'!$M$2</definedName>
    <definedName name="NIGHTS_2Q25">'Drivers'!$N$2</definedName>
    <definedName name="NIGHTS_3Q25">'Drivers'!$O$2</definedName>
    <definedName name="NIGHTS_4Q25">'Drivers'!$P$2</definedName>
    <definedName name="NIGHTS_1Q26">'Drivers'!$Q$2</definedName>
    <definedName name="NIGHTS_2Q26">'Drivers'!$R$2</definedName>
    <definedName name="NIGHTS_3Q26">'Drivers'!$S$2</definedName>
    <definedName name="ADR_1Q23">'Drivers'!$E$3</definedName>
    <definedName name="ADR_2Q23">'Drivers'!$F$3</definedName>
    <definedName name="ADR_3Q23">'Drivers'!$G$3</definedName>
    <definedName name="ADR_4Q23">'Drivers'!$H$3</definedName>
    <definedName name="ADR_1Q24">'Drivers'!$I$3</definedName>
    <definedName name="ADR_2Q24">'Drivers'!$J$3</definedName>
    <definedName name="ADR_3Q24">'Drivers'!$K$3</definedName>
    <definedName name="ADR_4Q24">'Drivers'!$L$3</definedName>
    <definedName name="ADR_1Q25">'Drivers'!$M$3</definedName>
    <definedName name="ADR_2Q25">'Drivers'!$N$3</definedName>
    <definedName name="ADR_3Q25">'Drivers'!$O$3</definedName>
    <definedName name="ADR_4Q25">'Drivers'!$P$3</definedName>
    <definedName name="ADR_1Q26">'Drivers'!$Q$3</definedName>
    <definedName name="ADR_2Q26">'Drivers'!$R$3</definedName>
    <definedName name="ADR_3Q26">'Drivers'!$S$3</definedName>
    <definedName name="ADR_4Q26">'Drivers'!$T$3</definedName>
    <definedName name="GBV_1Q23">'Drivers'!$E$4</definedName>
    <definedName name="GBV_2Q23">'Drivers'!$F$4</definedName>
    <definedName name="GBV_3Q23">'Drivers'!$G$4</definedName>
    <definedName name="GBV_4Q23">'Drivers'!$H$4</definedName>
    <definedName name="GBV_1Q24">'Drivers'!$I$4</definedName>
    <definedName name="GBV_2Q24">'Drivers'!$J$4</definedName>
    <definedName name="GBV_3Q24">'Drivers'!$K$4</definedName>
    <definedName name="GBV_4Q24">'Drivers'!$L$4</definedName>
    <definedName name="GBV_1Q25">'Drivers'!$M$4</definedName>
    <definedName name="GBV_2Q25">'Drivers'!$N$4</definedName>
    <definedName name="GBV_3Q25">'Drivers'!$O$4</definedName>
    <definedName name="GBV_4Q25">'Drivers'!$P$4</definedName>
    <definedName name="GBV_1Q26">'Drivers'!$Q$4</definedName>
    <definedName name="GBV_2Q26">'Drivers'!$R$4</definedName>
    <definedName name="GBV_3Q26">'Drivers'!$S$4</definedName>
    <definedName name="FX_REV_3Q26">'Drivers'!$S$5</definedName>
    <definedName name="FX_REV_4Q26">'Drivers'!$T$5</definedName>
    <definedName name="FX_REV_1Q27">'Drivers'!$U$5</definedName>
    <definedName name="FX_REV_2Q27">'Drivers'!$V$5</definedName>
    <definedName name="FX_ADR_3Q26">'Drivers'!$S$6</definedName>
    <definedName name="FX_ADR_4Q26">'Drivers'!$T$6</definedName>
    <definedName name="FX_ADR_1Q27">'Drivers'!$U$6</definedName>
    <definedName name="FX_ADR_2Q27">'Drivers'!$V$6</definedName>
    <definedName name="STREET_NIGHTS_3Q26">'Drivers'!$S$7</definedName>
    <definedName name="STREET_NIGHTS_4Q26">'Drivers'!$T$7</definedName>
    <definedName name="STREET_ADR_3Q26">'Drivers'!$S$8</definedName>
    <definedName name="REV_1Q23">'Revenue and Guide'!$E$2</definedName>
    <definedName name="REV_2Q23">'Revenue and Guide'!$F$2</definedName>
    <definedName name="REV_3Q23">'Revenue and Guide'!$G$2</definedName>
    <definedName name="REV_4Q23">'Revenue and Guide'!$H$2</definedName>
    <definedName name="REV_1Q24">'Revenue and Guide'!$I$2</definedName>
    <definedName name="REV_2Q24">'Revenue and Guide'!$J$2</definedName>
    <definedName name="REV_3Q24">'Revenue and Guide'!$K$2</definedName>
    <definedName name="REV_4Q24">'Revenue and Guide'!$L$2</definedName>
    <definedName name="REV_1Q25">'Revenue and Guide'!$M$2</definedName>
    <definedName name="REV_2Q25">'Revenue and Guide'!$N$2</definedName>
    <definedName name="REV_3Q25">'Revenue and Guide'!$O$2</definedName>
    <definedName name="REV_4Q25">'Revenue and Guide'!$P$2</definedName>
    <definedName name="REV_1Q26">'Revenue and Guide'!$Q$2</definedName>
    <definedName name="REV_2Q26">'Revenue and Guide'!$R$2</definedName>
    <definedName name="TAKE_1Q23">'Revenue and Guide'!$E$3</definedName>
    <definedName name="TAKE_2Q23">'Revenue and Guide'!$F$3</definedName>
    <definedName name="TAKE_3Q23">'Revenue and Guide'!$G$3</definedName>
    <definedName name="TAKE_4Q23">'Revenue and Guide'!$H$3</definedName>
    <definedName name="TAKE_1Q24">'Revenue and Guide'!$I$3</definedName>
    <definedName name="TAKE_2Q24">'Revenue and Guide'!$J$3</definedName>
    <definedName name="TAKE_3Q24">'Revenue and Guide'!$K$3</definedName>
    <definedName name="TAKE_4Q24">'Revenue and Guide'!$L$3</definedName>
    <definedName name="TAKE_1Q25">'Revenue and Guide'!$M$3</definedName>
    <definedName name="TAKE_2Q25">'Revenue and Guide'!$N$3</definedName>
    <definedName name="TAKE_3Q25">'Revenue and Guide'!$O$3</definedName>
    <definedName name="TAKE_4Q25">'Revenue and Guide'!$P$3</definedName>
    <definedName name="TAKE_1Q26">'Revenue and Guide'!$Q$3</definedName>
    <definedName name="TAKE_2Q26">'Revenue and Guide'!$R$3</definedName>
    <definedName name="LAM_Q1_ALL">'Revenue and Guide'!$AA$4</definedName>
    <definedName name="LAM_Q2_ALL">'Revenue and Guide'!$AA$5</definedName>
    <definedName name="LAM_Q3_ALL">'Revenue and Guide'!$AA$6</definedName>
    <definedName name="LAM_Q4_ALL">'Revenue and Guide'!$AA$7</definedName>
    <definedName name="W1_ALL">'Revenue and Guide'!$AA$8</definedName>
    <definedName name="W2_ALL">'Revenue and Guide'!$AA$9</definedName>
    <definedName name="JW0_ALL">'Revenue and Guide'!$AA$10</definedName>
    <definedName name="JW1_ALL">'Revenue and Guide'!$AA$11</definedName>
    <definedName name="JW2_ALL">'Revenue and Guide'!$AA$12</definedName>
    <definedName name="JW3_ALL">'Revenue and Guide'!$AA$13</definedName>
    <definedName name="REV_KERNEL_3Q26">'Revenue and Guide'!$S$14</definedName>
    <definedName name="CUSH_ALL">'Revenue and Guide'!$AA$15</definedName>
    <definedName name="STREET_REV_3Q26">'Revenue and Guide'!$S$16</definedName>
    <definedName name="STREET_REV_4Q26">'Revenue and Guide'!$T$16</definedName>
    <definedName name="STREET_REV_FY26">'Revenue and Guide'!$Y$16</definedName>
    <definedName name="STREET_REV_FY27">'Revenue and Guide'!$Z$16</definedName>
    <definedName name="COR_1Q23">'Costs and Earnings'!$E$2</definedName>
    <definedName name="COR_2Q23">'Costs and Earnings'!$F$2</definedName>
    <definedName name="COR_3Q23">'Costs and Earnings'!$G$2</definedName>
    <definedName name="COR_4Q23">'Costs and Earnings'!$H$2</definedName>
    <definedName name="COR_1Q24">'Costs and Earnings'!$I$2</definedName>
    <definedName name="COR_2Q24">'Costs and Earnings'!$J$2</definedName>
    <definedName name="COR_3Q24">'Costs and Earnings'!$K$2</definedName>
    <definedName name="COR_4Q24">'Costs and Earnings'!$L$2</definedName>
    <definedName name="COR_1Q25">'Costs and Earnings'!$M$2</definedName>
    <definedName name="COR_2Q25">'Costs and Earnings'!$N$2</definedName>
    <definedName name="COR_3Q25">'Costs and Earnings'!$O$2</definedName>
    <definedName name="COR_4Q25">'Costs and Earnings'!$P$2</definedName>
    <definedName name="COR_1Q26">'Costs and Earnings'!$Q$2</definedName>
    <definedName name="COR_2Q26">'Costs and Earnings'!$R$2</definedName>
    <definedName name="OPS_1Q23">'Costs and Earnings'!$E$3</definedName>
    <definedName name="OPS_2Q23">'Costs and Earnings'!$F$3</definedName>
    <definedName name="OPS_3Q23">'Costs and Earnings'!$G$3</definedName>
    <definedName name="OPS_4Q23">'Costs and Earnings'!$H$3</definedName>
    <definedName name="OPS_1Q24">'Costs and Earnings'!$I$3</definedName>
    <definedName name="OPS_2Q24">'Costs and Earnings'!$J$3</definedName>
    <definedName name="OPS_3Q24">'Costs and Earnings'!$K$3</definedName>
    <definedName name="OPS_4Q24">'Costs and Earnings'!$L$3</definedName>
    <definedName name="OPS_1Q25">'Costs and Earnings'!$M$3</definedName>
    <definedName name="OPS_2Q25">'Costs and Earnings'!$N$3</definedName>
    <definedName name="OPS_3Q25">'Costs and Earnings'!$O$3</definedName>
    <definedName name="OPS_4Q25">'Costs and Earnings'!$P$3</definedName>
    <definedName name="OPS_1Q26">'Costs and Earnings'!$Q$3</definedName>
    <definedName name="OPS_2Q26">'Costs and Earnings'!$R$3</definedName>
    <definedName name="PD_1Q23">'Costs and Earnings'!$E$4</definedName>
    <definedName name="PD_2Q23">'Costs and Earnings'!$F$4</definedName>
    <definedName name="PD_3Q23">'Costs and Earnings'!$G$4</definedName>
    <definedName name="PD_4Q23">'Costs and Earnings'!$H$4</definedName>
    <definedName name="PD_1Q24">'Costs and Earnings'!$I$4</definedName>
    <definedName name="PD_2Q24">'Costs and Earnings'!$J$4</definedName>
    <definedName name="PD_3Q24">'Costs and Earnings'!$K$4</definedName>
    <definedName name="PD_4Q24">'Costs and Earnings'!$L$4</definedName>
    <definedName name="PD_1Q25">'Costs and Earnings'!$M$4</definedName>
    <definedName name="PD_2Q25">'Costs and Earnings'!$N$4</definedName>
    <definedName name="PD_3Q25">'Costs and Earnings'!$O$4</definedName>
    <definedName name="PD_4Q25">'Costs and Earnings'!$P$4</definedName>
    <definedName name="PD_1Q26">'Costs and Earnings'!$Q$4</definedName>
    <definedName name="PD_2Q26">'Costs and Earnings'!$R$4</definedName>
    <definedName name="GA_1Q23">'Costs and Earnings'!$E$5</definedName>
    <definedName name="GA_2Q23">'Costs and Earnings'!$F$5</definedName>
    <definedName name="GA_3Q23">'Costs and Earnings'!$G$5</definedName>
    <definedName name="GA_4Q23">'Costs and Earnings'!$H$5</definedName>
    <definedName name="GA_1Q24">'Costs and Earnings'!$I$5</definedName>
    <definedName name="GA_2Q24">'Costs and Earnings'!$J$5</definedName>
    <definedName name="GA_3Q24">'Costs and Earnings'!$K$5</definedName>
    <definedName name="GA_4Q24">'Costs and Earnings'!$L$5</definedName>
    <definedName name="GA_1Q25">'Costs and Earnings'!$M$5</definedName>
    <definedName name="GA_2Q25">'Costs and Earnings'!$N$5</definedName>
    <definedName name="GA_3Q25">'Costs and Earnings'!$O$5</definedName>
    <definedName name="GA_4Q25">'Costs and Earnings'!$P$5</definedName>
    <definedName name="GA_1Q26">'Costs and Earnings'!$Q$5</definedName>
    <definedName name="GA_2Q26">'Costs and Earnings'!$R$5</definedName>
    <definedName name="SBC_1Q23">'Costs and Earnings'!$E$6</definedName>
    <definedName name="SBC_2Q23">'Costs and Earnings'!$F$6</definedName>
    <definedName name="SBC_3Q23">'Costs and Earnings'!$G$6</definedName>
    <definedName name="SBC_4Q23">'Costs and Earnings'!$H$6</definedName>
    <definedName name="SBC_1Q24">'Costs and Earnings'!$I$6</definedName>
    <definedName name="SBC_2Q24">'Costs and Earnings'!$J$6</definedName>
    <definedName name="SBC_3Q24">'Costs and Earnings'!$K$6</definedName>
    <definedName name="SBC_4Q24">'Costs and Earnings'!$L$6</definedName>
    <definedName name="SBC_1Q25">'Costs and Earnings'!$M$6</definedName>
    <definedName name="SBC_2Q25">'Costs and Earnings'!$N$6</definedName>
    <definedName name="SBC_3Q25">'Costs and Earnings'!$O$6</definedName>
    <definedName name="SBC_4Q25">'Costs and Earnings'!$P$6</definedName>
    <definedName name="SBC_1Q26">'Costs and Earnings'!$Q$6</definedName>
    <definedName name="SBC_2Q26">'Costs and Earnings'!$R$6</definedName>
    <definedName name="DA_1Q23">'Costs and Earnings'!$E$7</definedName>
    <definedName name="DA_2Q23">'Costs and Earnings'!$F$7</definedName>
    <definedName name="DA_3Q23">'Costs and Earnings'!$G$7</definedName>
    <definedName name="DA_4Q23">'Costs and Earnings'!$H$7</definedName>
    <definedName name="DA_1Q24">'Costs and Earnings'!$I$7</definedName>
    <definedName name="DA_2Q24">'Costs and Earnings'!$J$7</definedName>
    <definedName name="DA_3Q24">'Costs and Earnings'!$K$7</definedName>
    <definedName name="DA_4Q24">'Costs and Earnings'!$L$7</definedName>
    <definedName name="DA_1Q25">'Costs and Earnings'!$M$7</definedName>
    <definedName name="DA_2Q25">'Costs and Earnings'!$N$7</definedName>
    <definedName name="DA_3Q25">'Costs and Earnings'!$O$7</definedName>
    <definedName name="DA_4Q25">'Costs and Earnings'!$P$7</definedName>
    <definedName name="DA_1Q26">'Costs and Earnings'!$Q$7</definedName>
    <definedName name="DA_2Q26">'Costs and Earnings'!$R$7</definedName>
    <definedName name="EBITDA_1Q23">'Costs and Earnings'!$E$8</definedName>
    <definedName name="EBITDA_2Q23">'Costs and Earnings'!$F$8</definedName>
    <definedName name="EBITDA_3Q23">'Costs and Earnings'!$G$8</definedName>
    <definedName name="EBITDA_4Q23">'Costs and Earnings'!$H$8</definedName>
    <definedName name="EBITDA_1Q24">'Costs and Earnings'!$I$8</definedName>
    <definedName name="EBITDA_2Q24">'Costs and Earnings'!$J$8</definedName>
    <definedName name="EBITDA_3Q24">'Costs and Earnings'!$K$8</definedName>
    <definedName name="EBITDA_4Q24">'Costs and Earnings'!$L$8</definedName>
    <definedName name="EBITDA_1Q25">'Costs and Earnings'!$M$8</definedName>
    <definedName name="EBITDA_2Q25">'Costs and Earnings'!$N$8</definedName>
    <definedName name="EBITDA_3Q25">'Costs and Earnings'!$O$8</definedName>
    <definedName name="EBITDA_4Q25">'Costs and Earnings'!$P$8</definedName>
    <definedName name="EBITDA_1Q26">'Costs and Earnings'!$Q$8</definedName>
    <definedName name="EBITDA_2Q26">'Costs and Earnings'!$R$8</definedName>
    <definedName name="SHARES_1Q23">'Costs and Earnings'!$E$9</definedName>
    <definedName name="SHARES_2Q23">'Costs and Earnings'!$F$9</definedName>
    <definedName name="SHARES_3Q23">'Costs and Earnings'!$G$9</definedName>
    <definedName name="SHARES_4Q23">'Costs and Earnings'!$H$9</definedName>
    <definedName name="SHARES_1Q24">'Costs and Earnings'!$I$9</definedName>
    <definedName name="SHARES_2Q24">'Costs and Earnings'!$J$9</definedName>
    <definedName name="SHARES_3Q24">'Costs and Earnings'!$K$9</definedName>
    <definedName name="SHARES_4Q24">'Costs and Earnings'!$L$9</definedName>
    <definedName name="SHARES_1Q25">'Costs and Earnings'!$M$9</definedName>
    <definedName name="SHARES_2Q25">'Costs and Earnings'!$N$9</definedName>
    <definedName name="SHARES_3Q25">'Costs and Earnings'!$O$9</definedName>
    <definedName name="SHARES_4Q25">'Costs and Earnings'!$P$9</definedName>
    <definedName name="SHARES_1Q26">'Costs and Earnings'!$Q$9</definedName>
    <definedName name="SHARES_2Q26">'Costs and Earnings'!$R$9</definedName>
    <definedName name="SM_1Q23">'Costs and Earnings'!$E$10</definedName>
    <definedName name="SM_2Q23">'Costs and Earnings'!$F$10</definedName>
    <definedName name="SM_3Q23">'Costs and Earnings'!$G$10</definedName>
    <definedName name="SM_4Q23">'Costs and Earnings'!$H$10</definedName>
    <definedName name="SM_1Q24">'Costs and Earnings'!$I$10</definedName>
    <definedName name="SM_2Q24">'Costs and Earnings'!$J$10</definedName>
    <definedName name="SM_3Q24">'Costs and Earnings'!$K$10</definedName>
    <definedName name="SM_4Q24">'Costs and Earnings'!$L$10</definedName>
    <definedName name="SM_1Q25">'Costs and Earnings'!$M$10</definedName>
    <definedName name="SM_2Q25">'Costs and Earnings'!$N$10</definedName>
    <definedName name="SM_3Q25">'Costs and Earnings'!$O$10</definedName>
    <definedName name="SM_4Q25">'Costs and Earnings'!$P$10</definedName>
    <definedName name="SM_1Q26">'Costs and Earnings'!$Q$10</definedName>
    <definedName name="SM_2Q26">'Costs and Earnings'!$R$10</definedName>
    <definedName name="SM_3Q26">'Costs and Earnings'!$S$10</definedName>
    <definedName name="SM_4Q26">'Costs and Earnings'!$T$10</definedName>
    <definedName name="SM_FY26">'Costs and Earnings'!$Y$10</definedName>
    <definedName name="SM_FY27">'Costs and Earnings'!$Z$10</definedName>
    <definedName name="STREET_EBITDA_3Q26">'Costs and Earnings'!$S$11</definedName>
    <definedName name="STREET_EBITDA_FY27">'Costs and Earnings'!$Z$11</definedName>
    <definedName name="STREET_EPS_3Q26">'Costs and Earnings'!$S$12</definedName>
    <definedName name="STREET_EPS_FY27">'Costs and Earnings'!$Z$12</definedName>
    <definedName name="STREET_MARGIN_FY27">'Costs and Earnings'!$Z$13</definedName>
    <definedName name="MULT_FY27">'Valuation and Call'!$Z$2</definedName>
    <definedName name="SLOPE_ALL">'Valuation and Call'!$AA$3</definedName>
    <definedName name="SPOT_ALL">'Valuation and Call'!$AA$4</definedName>
    <definedName name="NETCASH_ALL">'Valuation and Call'!$AA$5</definedName>
    <definedName name="SHARES_DIL_ALL">'Valuation and Call'!$AA$6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x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3" fontId="0" fillId="0" borderId="0" pivotButton="0" quotePrefix="0" xfId="0"/>
    <xf numFmtId="3" fontId="0" fillId="2" borderId="0" pivotButton="0" quotePrefix="0" xfId="0"/>
    <xf numFmtId="10" fontId="0" fillId="0" borderId="0" pivotButton="0" quotePrefix="0" xfId="0"/>
    <xf numFmtId="10" fontId="0" fillId="2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Airbnb (ABNB) — pitch model v2</t>
        </is>
      </c>
    </row>
    <row r="2">
      <c r="A2" t="inlineStr">
        <is>
          <t>Price date 2026-09-16 · spot $167.51</t>
        </is>
      </c>
    </row>
    <row r="4">
      <c r="A4" s="2" t="inlineStr">
        <is>
          <t>Scenario</t>
        </is>
      </c>
      <c r="B4" s="3" t="inlineStr">
        <is>
          <t>base</t>
        </is>
      </c>
    </row>
    <row r="6">
      <c r="A6" t="inlineStr">
        <is>
          <t>Yellow cells are inputs; each carries a defined name (id_period), a grade, and a decision id. Every other number is a formula in those names: use Formulas &gt; Trace Precedents.</t>
        </is>
      </c>
    </row>
  </sheetData>
  <dataValidations count="1">
    <dataValidation sqref="B4" showDropDown="0" showInputMessage="0" showErrorMessage="0" allowBlank="0" type="list">
      <formula1>"base,short,breaker"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8" customWidth="1" min="4" max="4"/>
  </cols>
  <sheetData>
    <row r="1">
      <c r="A1" s="2" t="inlineStr">
        <is>
          <t>id</t>
        </is>
      </c>
      <c r="B1" s="2" t="inlineStr">
        <is>
          <t>line</t>
        </is>
      </c>
      <c r="C1" s="2" t="inlineStr">
        <is>
          <t>unit</t>
        </is>
      </c>
      <c r="D1" s="2" t="inlineStr">
        <is>
          <t>grade · decision</t>
        </is>
      </c>
      <c r="E1" s="2" t="inlineStr">
        <is>
          <t>1Q23</t>
        </is>
      </c>
      <c r="F1" s="2" t="inlineStr">
        <is>
          <t>2Q23</t>
        </is>
      </c>
      <c r="G1" s="2" t="inlineStr">
        <is>
          <t>3Q23</t>
        </is>
      </c>
      <c r="H1" s="2" t="inlineStr">
        <is>
          <t>4Q23</t>
        </is>
      </c>
      <c r="I1" s="2" t="inlineStr">
        <is>
          <t>1Q24</t>
        </is>
      </c>
      <c r="J1" s="2" t="inlineStr">
        <is>
          <t>2Q24</t>
        </is>
      </c>
      <c r="K1" s="2" t="inlineStr">
        <is>
          <t>3Q24</t>
        </is>
      </c>
      <c r="L1" s="2" t="inlineStr">
        <is>
          <t>4Q24</t>
        </is>
      </c>
      <c r="M1" s="2" t="inlineStr">
        <is>
          <t>1Q25</t>
        </is>
      </c>
      <c r="N1" s="2" t="inlineStr">
        <is>
          <t>2Q25</t>
        </is>
      </c>
      <c r="O1" s="2" t="inlineStr">
        <is>
          <t>3Q25</t>
        </is>
      </c>
      <c r="P1" s="2" t="inlineStr">
        <is>
          <t>4Q25</t>
        </is>
      </c>
      <c r="Q1" s="2" t="inlineStr">
        <is>
          <t>1Q26</t>
        </is>
      </c>
      <c r="R1" s="2" t="inlineStr">
        <is>
          <t>2Q26</t>
        </is>
      </c>
      <c r="S1" s="2" t="inlineStr">
        <is>
          <t>3Q26</t>
        </is>
      </c>
      <c r="T1" s="2" t="inlineStr">
        <is>
          <t>4Q26</t>
        </is>
      </c>
      <c r="U1" s="2" t="inlineStr">
        <is>
          <t>1Q27</t>
        </is>
      </c>
      <c r="V1" s="2" t="inlineStr">
        <is>
          <t>2Q27</t>
        </is>
      </c>
      <c r="W1" s="2" t="inlineStr">
        <is>
          <t>3Q27</t>
        </is>
      </c>
      <c r="X1" s="2" t="inlineStr">
        <is>
          <t>4Q27</t>
        </is>
      </c>
      <c r="Y1" s="2" t="inlineStr">
        <is>
          <t>FY26</t>
        </is>
      </c>
      <c r="Z1" s="2" t="inlineStr">
        <is>
          <t>FY27</t>
        </is>
      </c>
      <c r="AA1" s="2" t="inlineStr">
        <is>
          <t>ALL</t>
        </is>
      </c>
    </row>
    <row r="2">
      <c r="A2" t="inlineStr">
        <is>
          <t>NIGHTS</t>
        </is>
      </c>
      <c r="B2" t="inlineStr">
        <is>
          <t>Nights booked (m)</t>
        </is>
      </c>
      <c r="C2" t="inlineStr">
        <is>
          <t>m</t>
        </is>
      </c>
      <c r="D2" t="inlineStr">
        <is>
          <t>B · DEC-0003 / B · DEC-0004</t>
        </is>
      </c>
      <c r="E2" s="4">
        <f>INDEX('Scenario Data'!$E$2:$G$2,MATCH(Scenario,'Scenario Data'!$E$1:$G$1,0))</f>
        <v/>
      </c>
      <c r="F2" s="4">
        <f>INDEX('Scenario Data'!$E$3:$G$3,MATCH(Scenario,'Scenario Data'!$E$1:$G$1,0))</f>
        <v/>
      </c>
      <c r="G2" s="4">
        <f>INDEX('Scenario Data'!$E$4:$G$4,MATCH(Scenario,'Scenario Data'!$E$1:$G$1,0))</f>
        <v/>
      </c>
      <c r="H2" s="4">
        <f>INDEX('Scenario Data'!$E$5:$G$5,MATCH(Scenario,'Scenario Data'!$E$1:$G$1,0))</f>
        <v/>
      </c>
      <c r="I2" s="4">
        <f>INDEX('Scenario Data'!$E$6:$G$6,MATCH(Scenario,'Scenario Data'!$E$1:$G$1,0))</f>
        <v/>
      </c>
      <c r="J2" s="4">
        <f>INDEX('Scenario Data'!$E$7:$G$7,MATCH(Scenario,'Scenario Data'!$E$1:$G$1,0))</f>
        <v/>
      </c>
      <c r="K2" s="4">
        <f>INDEX('Scenario Data'!$E$8:$G$8,MATCH(Scenario,'Scenario Data'!$E$1:$G$1,0))</f>
        <v/>
      </c>
      <c r="L2" s="4">
        <f>INDEX('Scenario Data'!$E$9:$G$9,MATCH(Scenario,'Scenario Data'!$E$1:$G$1,0))</f>
        <v/>
      </c>
      <c r="M2" s="4">
        <f>INDEX('Scenario Data'!$E$10:$G$10,MATCH(Scenario,'Scenario Data'!$E$1:$G$1,0))</f>
        <v/>
      </c>
      <c r="N2" s="4">
        <f>INDEX('Scenario Data'!$E$11:$G$11,MATCH(Scenario,'Scenario Data'!$E$1:$G$1,0))</f>
        <v/>
      </c>
      <c r="O2" s="4">
        <f>INDEX('Scenario Data'!$E$12:$G$12,MATCH(Scenario,'Scenario Data'!$E$1:$G$1,0))</f>
        <v/>
      </c>
      <c r="P2" s="4">
        <f>INDEX('Scenario Data'!$E$13:$G$13,MATCH(Scenario,'Scenario Data'!$E$1:$G$1,0))</f>
        <v/>
      </c>
      <c r="Q2" s="4">
        <f>INDEX('Scenario Data'!$E$14:$G$14,MATCH(Scenario,'Scenario Data'!$E$1:$G$1,0))</f>
        <v/>
      </c>
      <c r="R2" s="4">
        <f>INDEX('Scenario Data'!$E$15:$G$15,MATCH(Scenario,'Scenario Data'!$E$1:$G$1,0))</f>
        <v/>
      </c>
      <c r="S2" s="4">
        <f>INDEX('Scenario Data'!$E$16:$G$16,MATCH(Scenario,'Scenario Data'!$E$1:$G$1,0))</f>
        <v/>
      </c>
    </row>
    <row r="3">
      <c r="A3" t="inlineStr">
        <is>
          <t>ADR</t>
        </is>
      </c>
      <c r="B3" t="inlineStr">
        <is>
          <t>ADR ($)</t>
        </is>
      </c>
      <c r="C3" t="inlineStr">
        <is>
          <t>usd</t>
        </is>
      </c>
      <c r="D3" t="inlineStr">
        <is>
          <t>B · DEC-0003 / B · DEC-0008</t>
        </is>
      </c>
      <c r="E3" s="5">
        <f>INDEX('Scenario Data'!$E$17:$G$17,MATCH(Scenario,'Scenario Data'!$E$1:$G$1,0))</f>
        <v/>
      </c>
      <c r="F3" s="5">
        <f>INDEX('Scenario Data'!$E$18:$G$18,MATCH(Scenario,'Scenario Data'!$E$1:$G$1,0))</f>
        <v/>
      </c>
      <c r="G3" s="5">
        <f>INDEX('Scenario Data'!$E$19:$G$19,MATCH(Scenario,'Scenario Data'!$E$1:$G$1,0))</f>
        <v/>
      </c>
      <c r="H3" s="5">
        <f>INDEX('Scenario Data'!$E$20:$G$20,MATCH(Scenario,'Scenario Data'!$E$1:$G$1,0))</f>
        <v/>
      </c>
      <c r="I3" s="5">
        <f>INDEX('Scenario Data'!$E$21:$G$21,MATCH(Scenario,'Scenario Data'!$E$1:$G$1,0))</f>
        <v/>
      </c>
      <c r="J3" s="5">
        <f>INDEX('Scenario Data'!$E$22:$G$22,MATCH(Scenario,'Scenario Data'!$E$1:$G$1,0))</f>
        <v/>
      </c>
      <c r="K3" s="5">
        <f>INDEX('Scenario Data'!$E$23:$G$23,MATCH(Scenario,'Scenario Data'!$E$1:$G$1,0))</f>
        <v/>
      </c>
      <c r="L3" s="5">
        <f>INDEX('Scenario Data'!$E$24:$G$24,MATCH(Scenario,'Scenario Data'!$E$1:$G$1,0))</f>
        <v/>
      </c>
      <c r="M3" s="5">
        <f>INDEX('Scenario Data'!$E$25:$G$25,MATCH(Scenario,'Scenario Data'!$E$1:$G$1,0))</f>
        <v/>
      </c>
      <c r="N3" s="5">
        <f>INDEX('Scenario Data'!$E$26:$G$26,MATCH(Scenario,'Scenario Data'!$E$1:$G$1,0))</f>
        <v/>
      </c>
      <c r="O3" s="5">
        <f>INDEX('Scenario Data'!$E$27:$G$27,MATCH(Scenario,'Scenario Data'!$E$1:$G$1,0))</f>
        <v/>
      </c>
      <c r="P3" s="5">
        <f>INDEX('Scenario Data'!$E$28:$G$28,MATCH(Scenario,'Scenario Data'!$E$1:$G$1,0))</f>
        <v/>
      </c>
      <c r="Q3" s="5">
        <f>INDEX('Scenario Data'!$E$29:$G$29,MATCH(Scenario,'Scenario Data'!$E$1:$G$1,0))</f>
        <v/>
      </c>
      <c r="R3" s="5">
        <f>INDEX('Scenario Data'!$E$30:$G$30,MATCH(Scenario,'Scenario Data'!$E$1:$G$1,0))</f>
        <v/>
      </c>
      <c r="S3" s="5">
        <f>INDEX('Scenario Data'!$E$31:$G$31,MATCH(Scenario,'Scenario Data'!$E$1:$G$1,0))</f>
        <v/>
      </c>
      <c r="T3" s="5">
        <f>INDEX('Scenario Data'!$E$32:$G$32,MATCH(Scenario,'Scenario Data'!$E$1:$G$1,0))</f>
        <v/>
      </c>
    </row>
    <row r="4">
      <c r="A4" t="inlineStr">
        <is>
          <t>GBV</t>
        </is>
      </c>
      <c r="B4" t="inlineStr">
        <is>
          <t>GBV ($M)</t>
        </is>
      </c>
      <c r="C4" t="inlineStr">
        <is>
          <t>musd</t>
        </is>
      </c>
      <c r="D4" t="inlineStr">
        <is>
          <t>formula: NIGHTS * ADR</t>
        </is>
      </c>
      <c r="E4" s="6">
        <f>NIGHTS_1Q23*ADR_1Q23</f>
        <v/>
      </c>
      <c r="F4" s="6">
        <f>NIGHTS_2Q23*ADR_2Q23</f>
        <v/>
      </c>
      <c r="G4" s="6">
        <f>NIGHTS_3Q23*ADR_3Q23</f>
        <v/>
      </c>
      <c r="H4" s="6">
        <f>NIGHTS_4Q23*ADR_4Q23</f>
        <v/>
      </c>
      <c r="I4" s="6">
        <f>NIGHTS_1Q24*ADR_1Q24</f>
        <v/>
      </c>
      <c r="J4" s="6">
        <f>NIGHTS_2Q24*ADR_2Q24</f>
        <v/>
      </c>
      <c r="K4" s="6">
        <f>NIGHTS_3Q24*ADR_3Q24</f>
        <v/>
      </c>
      <c r="L4" s="6">
        <f>NIGHTS_4Q24*ADR_4Q24</f>
        <v/>
      </c>
      <c r="M4" s="6">
        <f>NIGHTS_1Q25*ADR_1Q25</f>
        <v/>
      </c>
      <c r="N4" s="6">
        <f>NIGHTS_2Q25*ADR_2Q25</f>
        <v/>
      </c>
      <c r="O4" s="6">
        <f>NIGHTS_3Q25*ADR_3Q25</f>
        <v/>
      </c>
      <c r="P4" s="6">
        <f>NIGHTS_4Q25*ADR_4Q25</f>
        <v/>
      </c>
      <c r="Q4" s="6">
        <f>NIGHTS_1Q26*ADR_1Q26</f>
        <v/>
      </c>
      <c r="R4" s="6">
        <f>NIGHTS_2Q26*ADR_2Q26</f>
        <v/>
      </c>
      <c r="S4" s="6">
        <f>NIGHTS_3Q26*ADR_3Q26</f>
        <v/>
      </c>
    </row>
    <row r="5">
      <c r="A5" t="inlineStr">
        <is>
          <t>FX_REV</t>
        </is>
      </c>
      <c r="B5" t="inlineStr">
        <is>
          <t>Revenue FX contribution (pp y/y)</t>
        </is>
      </c>
      <c r="C5" t="inlineStr">
        <is>
          <t>pp</t>
        </is>
      </c>
      <c r="D5" t="inlineStr">
        <is>
          <t>B · DEC-0010</t>
        </is>
      </c>
      <c r="S5" s="5">
        <f>INDEX('Scenario Data'!$E$33:$G$33,MATCH(Scenario,'Scenario Data'!$E$1:$G$1,0))</f>
        <v/>
      </c>
      <c r="T5" s="5">
        <f>INDEX('Scenario Data'!$E$34:$G$34,MATCH(Scenario,'Scenario Data'!$E$1:$G$1,0))</f>
        <v/>
      </c>
      <c r="U5" s="5">
        <f>INDEX('Scenario Data'!$E$35:$G$35,MATCH(Scenario,'Scenario Data'!$E$1:$G$1,0))</f>
        <v/>
      </c>
      <c r="V5" s="5">
        <f>INDEX('Scenario Data'!$E$36:$G$36,MATCH(Scenario,'Scenario Data'!$E$1:$G$1,0))</f>
        <v/>
      </c>
    </row>
    <row r="6">
      <c r="A6" t="inlineStr">
        <is>
          <t>FX_ADR</t>
        </is>
      </c>
      <c r="B6" t="inlineStr">
        <is>
          <t>ADR FX contribution (pp y/y)</t>
        </is>
      </c>
      <c r="C6" t="inlineStr">
        <is>
          <t>pp</t>
        </is>
      </c>
      <c r="D6" t="inlineStr">
        <is>
          <t>B · DEC-0010</t>
        </is>
      </c>
      <c r="S6" s="5">
        <f>INDEX('Scenario Data'!$E$37:$G$37,MATCH(Scenario,'Scenario Data'!$E$1:$G$1,0))</f>
        <v/>
      </c>
      <c r="T6" s="5">
        <f>INDEX('Scenario Data'!$E$38:$G$38,MATCH(Scenario,'Scenario Data'!$E$1:$G$1,0))</f>
        <v/>
      </c>
      <c r="U6" s="5">
        <f>INDEX('Scenario Data'!$E$39:$G$39,MATCH(Scenario,'Scenario Data'!$E$1:$G$1,0))</f>
        <v/>
      </c>
      <c r="V6" s="5">
        <f>INDEX('Scenario Data'!$E$40:$G$40,MATCH(Scenario,'Scenario Data'!$E$1:$G$1,0))</f>
        <v/>
      </c>
    </row>
    <row r="7">
      <c r="A7" t="inlineStr">
        <is>
          <t>STREET_NIGHTS</t>
        </is>
      </c>
      <c r="B7" t="inlineStr">
        <is>
          <t>Street nights (m)</t>
        </is>
      </c>
      <c r="C7" t="inlineStr">
        <is>
          <t>m</t>
        </is>
      </c>
      <c r="D7" t="inlineStr">
        <is>
          <t>B · DEC-0013</t>
        </is>
      </c>
      <c r="S7" s="4">
        <f>INDEX('Scenario Data'!$E$41:$G$41,MATCH(Scenario,'Scenario Data'!$E$1:$G$1,0))</f>
        <v/>
      </c>
      <c r="T7" s="4">
        <f>INDEX('Scenario Data'!$E$42:$G$42,MATCH(Scenario,'Scenario Data'!$E$1:$G$1,0))</f>
        <v/>
      </c>
    </row>
    <row r="8">
      <c r="A8" t="inlineStr">
        <is>
          <t>STREET_ADR</t>
        </is>
      </c>
      <c r="B8" t="inlineStr">
        <is>
          <t>Street ADR ($)</t>
        </is>
      </c>
      <c r="C8" t="inlineStr">
        <is>
          <t>usd</t>
        </is>
      </c>
      <c r="D8" t="inlineStr">
        <is>
          <t>B · DEC-0013</t>
        </is>
      </c>
      <c r="S8" s="5">
        <f>INDEX('Scenario Data'!$E$43:$G$43,MATCH(Scenario,'Scenario Data'!$E$1:$G$1,0))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8" customWidth="1" min="4" max="4"/>
  </cols>
  <sheetData>
    <row r="1">
      <c r="A1" s="2" t="inlineStr">
        <is>
          <t>id</t>
        </is>
      </c>
      <c r="B1" s="2" t="inlineStr">
        <is>
          <t>line</t>
        </is>
      </c>
      <c r="C1" s="2" t="inlineStr">
        <is>
          <t>unit</t>
        </is>
      </c>
      <c r="D1" s="2" t="inlineStr">
        <is>
          <t>grade · decision</t>
        </is>
      </c>
      <c r="E1" s="2" t="inlineStr">
        <is>
          <t>1Q23</t>
        </is>
      </c>
      <c r="F1" s="2" t="inlineStr">
        <is>
          <t>2Q23</t>
        </is>
      </c>
      <c r="G1" s="2" t="inlineStr">
        <is>
          <t>3Q23</t>
        </is>
      </c>
      <c r="H1" s="2" t="inlineStr">
        <is>
          <t>4Q23</t>
        </is>
      </c>
      <c r="I1" s="2" t="inlineStr">
        <is>
          <t>1Q24</t>
        </is>
      </c>
      <c r="J1" s="2" t="inlineStr">
        <is>
          <t>2Q24</t>
        </is>
      </c>
      <c r="K1" s="2" t="inlineStr">
        <is>
          <t>3Q24</t>
        </is>
      </c>
      <c r="L1" s="2" t="inlineStr">
        <is>
          <t>4Q24</t>
        </is>
      </c>
      <c r="M1" s="2" t="inlineStr">
        <is>
          <t>1Q25</t>
        </is>
      </c>
      <c r="N1" s="2" t="inlineStr">
        <is>
          <t>2Q25</t>
        </is>
      </c>
      <c r="O1" s="2" t="inlineStr">
        <is>
          <t>3Q25</t>
        </is>
      </c>
      <c r="P1" s="2" t="inlineStr">
        <is>
          <t>4Q25</t>
        </is>
      </c>
      <c r="Q1" s="2" t="inlineStr">
        <is>
          <t>1Q26</t>
        </is>
      </c>
      <c r="R1" s="2" t="inlineStr">
        <is>
          <t>2Q26</t>
        </is>
      </c>
      <c r="S1" s="2" t="inlineStr">
        <is>
          <t>3Q26</t>
        </is>
      </c>
      <c r="T1" s="2" t="inlineStr">
        <is>
          <t>4Q26</t>
        </is>
      </c>
      <c r="U1" s="2" t="inlineStr">
        <is>
          <t>1Q27</t>
        </is>
      </c>
      <c r="V1" s="2" t="inlineStr">
        <is>
          <t>2Q27</t>
        </is>
      </c>
      <c r="W1" s="2" t="inlineStr">
        <is>
          <t>3Q27</t>
        </is>
      </c>
      <c r="X1" s="2" t="inlineStr">
        <is>
          <t>4Q27</t>
        </is>
      </c>
      <c r="Y1" s="2" t="inlineStr">
        <is>
          <t>FY26</t>
        </is>
      </c>
      <c r="Z1" s="2" t="inlineStr">
        <is>
          <t>FY27</t>
        </is>
      </c>
      <c r="AA1" s="2" t="inlineStr">
        <is>
          <t>ALL</t>
        </is>
      </c>
    </row>
    <row r="2">
      <c r="A2" t="inlineStr">
        <is>
          <t>REV</t>
        </is>
      </c>
      <c r="B2" t="inlineStr">
        <is>
          <t>Revenue ($M)</t>
        </is>
      </c>
      <c r="C2" t="inlineStr">
        <is>
          <t>musd</t>
        </is>
      </c>
      <c r="D2" t="inlineStr">
        <is>
          <t>B · DEC-0003</t>
        </is>
      </c>
      <c r="E2" s="7">
        <f>INDEX('Scenario Data'!$E$44:$G$44,MATCH(Scenario,'Scenario Data'!$E$1:$G$1,0))</f>
        <v/>
      </c>
      <c r="F2" s="7">
        <f>INDEX('Scenario Data'!$E$45:$G$45,MATCH(Scenario,'Scenario Data'!$E$1:$G$1,0))</f>
        <v/>
      </c>
      <c r="G2" s="7">
        <f>INDEX('Scenario Data'!$E$46:$G$46,MATCH(Scenario,'Scenario Data'!$E$1:$G$1,0))</f>
        <v/>
      </c>
      <c r="H2" s="7">
        <f>INDEX('Scenario Data'!$E$47:$G$47,MATCH(Scenario,'Scenario Data'!$E$1:$G$1,0))</f>
        <v/>
      </c>
      <c r="I2" s="7">
        <f>INDEX('Scenario Data'!$E$48:$G$48,MATCH(Scenario,'Scenario Data'!$E$1:$G$1,0))</f>
        <v/>
      </c>
      <c r="J2" s="7">
        <f>INDEX('Scenario Data'!$E$49:$G$49,MATCH(Scenario,'Scenario Data'!$E$1:$G$1,0))</f>
        <v/>
      </c>
      <c r="K2" s="7">
        <f>INDEX('Scenario Data'!$E$50:$G$50,MATCH(Scenario,'Scenario Data'!$E$1:$G$1,0))</f>
        <v/>
      </c>
      <c r="L2" s="7">
        <f>INDEX('Scenario Data'!$E$51:$G$51,MATCH(Scenario,'Scenario Data'!$E$1:$G$1,0))</f>
        <v/>
      </c>
      <c r="M2" s="7">
        <f>INDEX('Scenario Data'!$E$52:$G$52,MATCH(Scenario,'Scenario Data'!$E$1:$G$1,0))</f>
        <v/>
      </c>
      <c r="N2" s="7">
        <f>INDEX('Scenario Data'!$E$53:$G$53,MATCH(Scenario,'Scenario Data'!$E$1:$G$1,0))</f>
        <v/>
      </c>
      <c r="O2" s="7">
        <f>INDEX('Scenario Data'!$E$54:$G$54,MATCH(Scenario,'Scenario Data'!$E$1:$G$1,0))</f>
        <v/>
      </c>
      <c r="P2" s="7">
        <f>INDEX('Scenario Data'!$E$55:$G$55,MATCH(Scenario,'Scenario Data'!$E$1:$G$1,0))</f>
        <v/>
      </c>
      <c r="Q2" s="7">
        <f>INDEX('Scenario Data'!$E$56:$G$56,MATCH(Scenario,'Scenario Data'!$E$1:$G$1,0))</f>
        <v/>
      </c>
      <c r="R2" s="7">
        <f>INDEX('Scenario Data'!$E$57:$G$57,MATCH(Scenario,'Scenario Data'!$E$1:$G$1,0))</f>
        <v/>
      </c>
    </row>
    <row r="3">
      <c r="A3" t="inlineStr">
        <is>
          <t>TAKE</t>
        </is>
      </c>
      <c r="B3" t="inlineStr">
        <is>
          <t>Take rate (%)</t>
        </is>
      </c>
      <c r="C3" t="inlineStr">
        <is>
          <t>pct</t>
        </is>
      </c>
      <c r="D3" t="inlineStr">
        <is>
          <t>formula: REV / GBV * 100</t>
        </is>
      </c>
      <c r="E3" s="8">
        <f>REV_1Q23/GBV_1Q23*100</f>
        <v/>
      </c>
      <c r="F3" s="8">
        <f>REV_2Q23/GBV_2Q23*100</f>
        <v/>
      </c>
      <c r="G3" s="8">
        <f>REV_3Q23/GBV_3Q23*100</f>
        <v/>
      </c>
      <c r="H3" s="8">
        <f>REV_4Q23/GBV_4Q23*100</f>
        <v/>
      </c>
      <c r="I3" s="8">
        <f>REV_1Q24/GBV_1Q24*100</f>
        <v/>
      </c>
      <c r="J3" s="8">
        <f>REV_2Q24/GBV_2Q24*100</f>
        <v/>
      </c>
      <c r="K3" s="8">
        <f>REV_3Q24/GBV_3Q24*100</f>
        <v/>
      </c>
      <c r="L3" s="8">
        <f>REV_4Q24/GBV_4Q24*100</f>
        <v/>
      </c>
      <c r="M3" s="8">
        <f>REV_1Q25/GBV_1Q25*100</f>
        <v/>
      </c>
      <c r="N3" s="8">
        <f>REV_2Q25/GBV_2Q25*100</f>
        <v/>
      </c>
      <c r="O3" s="8">
        <f>REV_3Q25/GBV_3Q25*100</f>
        <v/>
      </c>
      <c r="P3" s="8">
        <f>REV_4Q25/GBV_4Q25*100</f>
        <v/>
      </c>
      <c r="Q3" s="8">
        <f>REV_1Q26/GBV_1Q26*100</f>
        <v/>
      </c>
      <c r="R3" s="8">
        <f>REV_2Q26/GBV_2Q26*100</f>
        <v/>
      </c>
    </row>
    <row r="4">
      <c r="A4" t="inlineStr">
        <is>
          <t>LAM_Q1</t>
        </is>
      </c>
      <c r="B4" t="inlineStr">
        <is>
          <t>Kernel lambda, Q1 season (%)</t>
        </is>
      </c>
      <c r="C4" t="inlineStr">
        <is>
          <t>pct</t>
        </is>
      </c>
      <c r="D4" t="inlineStr">
        <is>
          <t>B · DEC-0006</t>
        </is>
      </c>
      <c r="AA4" s="9">
        <f>INDEX('Scenario Data'!$E$58:$G$58,MATCH(Scenario,'Scenario Data'!$E$1:$G$1,0))</f>
        <v/>
      </c>
    </row>
    <row r="5">
      <c r="A5" t="inlineStr">
        <is>
          <t>LAM_Q2</t>
        </is>
      </c>
      <c r="B5" t="inlineStr">
        <is>
          <t>Kernel lambda, Q2 season (%)</t>
        </is>
      </c>
      <c r="C5" t="inlineStr">
        <is>
          <t>pct</t>
        </is>
      </c>
      <c r="D5" t="inlineStr">
        <is>
          <t>B · DEC-0006</t>
        </is>
      </c>
      <c r="AA5" s="9">
        <f>INDEX('Scenario Data'!$E$59:$G$59,MATCH(Scenario,'Scenario Data'!$E$1:$G$1,0))</f>
        <v/>
      </c>
    </row>
    <row r="6">
      <c r="A6" t="inlineStr">
        <is>
          <t>LAM_Q3</t>
        </is>
      </c>
      <c r="B6" t="inlineStr">
        <is>
          <t>Kernel lambda, Q3 season (%)</t>
        </is>
      </c>
      <c r="C6" t="inlineStr">
        <is>
          <t>pct</t>
        </is>
      </c>
      <c r="D6" t="inlineStr">
        <is>
          <t>B · DEC-0006</t>
        </is>
      </c>
      <c r="AA6" s="9">
        <f>INDEX('Scenario Data'!$E$60:$G$60,MATCH(Scenario,'Scenario Data'!$E$1:$G$1,0))</f>
        <v/>
      </c>
    </row>
    <row r="7">
      <c r="A7" t="inlineStr">
        <is>
          <t>LAM_Q4</t>
        </is>
      </c>
      <c r="B7" t="inlineStr">
        <is>
          <t>Kernel lambda, Q4 season (%)</t>
        </is>
      </c>
      <c r="C7" t="inlineStr">
        <is>
          <t>pct</t>
        </is>
      </c>
      <c r="D7" t="inlineStr">
        <is>
          <t>B · DEC-0006</t>
        </is>
      </c>
      <c r="AA7" s="9">
        <f>INDEX('Scenario Data'!$E$61:$G$61,MATCH(Scenario,'Scenario Data'!$E$1:$G$1,0))</f>
        <v/>
      </c>
    </row>
    <row r="8">
      <c r="A8" t="inlineStr">
        <is>
          <t>W1</t>
        </is>
      </c>
      <c r="B8" t="inlineStr">
        <is>
          <t>Kernel weight, GBV[q-1]</t>
        </is>
      </c>
      <c r="C8" t="inlineStr">
        <is>
          <t>weight</t>
        </is>
      </c>
      <c r="D8" t="inlineStr">
        <is>
          <t>B · DEC-0006</t>
        </is>
      </c>
      <c r="AA8" s="5">
        <f>INDEX('Scenario Data'!$E$62:$G$62,MATCH(Scenario,'Scenario Data'!$E$1:$G$1,0))</f>
        <v/>
      </c>
    </row>
    <row r="9">
      <c r="A9" t="inlineStr">
        <is>
          <t>W2</t>
        </is>
      </c>
      <c r="B9" t="inlineStr">
        <is>
          <t>Kernel weight, GBV[q-2]</t>
        </is>
      </c>
      <c r="C9" t="inlineStr">
        <is>
          <t>weight</t>
        </is>
      </c>
      <c r="D9" t="inlineStr">
        <is>
          <t>B · DEC-0006</t>
        </is>
      </c>
      <c r="AA9" s="5">
        <f>INDEX('Scenario Data'!$E$63:$G$63,MATCH(Scenario,'Scenario Data'!$E$1:$G$1,0))</f>
        <v/>
      </c>
    </row>
    <row r="10">
      <c r="A10" t="inlineStr">
        <is>
          <t>JW0</t>
        </is>
      </c>
      <c r="B10" t="inlineStr">
        <is>
          <t>Joint-rule weight, GBV[t] (sensitivity only)</t>
        </is>
      </c>
      <c r="C10" t="inlineStr">
        <is>
          <t>weight</t>
        </is>
      </c>
      <c r="D10" t="inlineStr">
        <is>
          <t>B · DEC-0006</t>
        </is>
      </c>
      <c r="AA10" s="5">
        <f>INDEX('Scenario Data'!$E$64:$G$64,MATCH(Scenario,'Scenario Data'!$E$1:$G$1,0))</f>
        <v/>
      </c>
    </row>
    <row r="11">
      <c r="A11" t="inlineStr">
        <is>
          <t>JW1</t>
        </is>
      </c>
      <c r="B11" t="inlineStr">
        <is>
          <t>Joint-rule weight, GBV[t-1] (sensitivity only)</t>
        </is>
      </c>
      <c r="C11" t="inlineStr">
        <is>
          <t>weight</t>
        </is>
      </c>
      <c r="D11" t="inlineStr">
        <is>
          <t>B · DEC-0006</t>
        </is>
      </c>
      <c r="AA11" s="5">
        <f>INDEX('Scenario Data'!$E$65:$G$65,MATCH(Scenario,'Scenario Data'!$E$1:$G$1,0))</f>
        <v/>
      </c>
    </row>
    <row r="12">
      <c r="A12" t="inlineStr">
        <is>
          <t>JW2</t>
        </is>
      </c>
      <c r="B12" t="inlineStr">
        <is>
          <t>Joint-rule weight, GBV[t-2] (sensitivity only)</t>
        </is>
      </c>
      <c r="C12" t="inlineStr">
        <is>
          <t>weight</t>
        </is>
      </c>
      <c r="D12" t="inlineStr">
        <is>
          <t>B · DEC-0006</t>
        </is>
      </c>
      <c r="AA12" s="5">
        <f>INDEX('Scenario Data'!$E$66:$G$66,MATCH(Scenario,'Scenario Data'!$E$1:$G$1,0))</f>
        <v/>
      </c>
    </row>
    <row r="13">
      <c r="A13" t="inlineStr">
        <is>
          <t>JW3</t>
        </is>
      </c>
      <c r="B13" t="inlineStr">
        <is>
          <t>Joint-rule weight, mean(GBV[t-3],GBV[t-4]) (sensitivity only)</t>
        </is>
      </c>
      <c r="C13" t="inlineStr">
        <is>
          <t>weight</t>
        </is>
      </c>
      <c r="D13" t="inlineStr">
        <is>
          <t>B · DEC-0006</t>
        </is>
      </c>
      <c r="AA13" s="5">
        <f>INDEX('Scenario Data'!$E$67:$G$67,MATCH(Scenario,'Scenario Data'!$E$1:$G$1,0))</f>
        <v/>
      </c>
    </row>
    <row r="14">
      <c r="A14" t="inlineStr">
        <is>
          <t>REV_KERNEL</t>
        </is>
      </c>
      <c r="B14" t="inlineStr">
        <is>
          <t>Revenue, kernel ($M)</t>
        </is>
      </c>
      <c r="C14" t="inlineStr">
        <is>
          <t>musd</t>
        </is>
      </c>
      <c r="D14" t="inlineStr">
        <is>
          <t>formula: LAM_Q3@ALL / 100 * (W1@ALL * GBV[-1] + W2@ALL * GBV[-2])</t>
        </is>
      </c>
      <c r="S14" s="6">
        <f>LAM_Q3_ALL/100*(W1_ALL*GBV_2Q26+W2_ALL*GBV_1Q26)</f>
        <v/>
      </c>
    </row>
    <row r="15">
      <c r="A15" t="inlineStr">
        <is>
          <t>CUSH</t>
        </is>
      </c>
      <c r="B15" t="inlineStr">
        <is>
          <t>Guide cushion, trailing-8 mean (pp)</t>
        </is>
      </c>
      <c r="C15" t="inlineStr">
        <is>
          <t>pctpt</t>
        </is>
      </c>
      <c r="D15" t="inlineStr">
        <is>
          <t>A · DEC-0001</t>
        </is>
      </c>
      <c r="AA15" s="5">
        <f>INDEX('Scenario Data'!$E$68:$G$68,MATCH(Scenario,'Scenario Data'!$E$1:$G$1,0))</f>
        <v/>
      </c>
    </row>
    <row r="16">
      <c r="A16" t="inlineStr">
        <is>
          <t>STREET_REV</t>
        </is>
      </c>
      <c r="B16" t="inlineStr">
        <is>
          <t>Street revenue ($M)</t>
        </is>
      </c>
      <c r="C16" t="inlineStr">
        <is>
          <t>musd</t>
        </is>
      </c>
      <c r="D16" t="inlineStr">
        <is>
          <t>B · DEC-0013</t>
        </is>
      </c>
      <c r="S16" s="7">
        <f>INDEX('Scenario Data'!$E$69:$G$69,MATCH(Scenario,'Scenario Data'!$E$1:$G$1,0))</f>
        <v/>
      </c>
      <c r="T16" s="7">
        <f>INDEX('Scenario Data'!$E$70:$G$70,MATCH(Scenario,'Scenario Data'!$E$1:$G$1,0))</f>
        <v/>
      </c>
      <c r="Y16" s="7">
        <f>INDEX('Scenario Data'!$E$71:$G$71,MATCH(Scenario,'Scenario Data'!$E$1:$G$1,0))</f>
        <v/>
      </c>
      <c r="Z16" s="7">
        <f>INDEX('Scenario Data'!$E$72:$G$72,MATCH(Scenario,'Scenario Data'!$E$1:$G$1,0))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8" customWidth="1" min="4" max="4"/>
  </cols>
  <sheetData>
    <row r="1">
      <c r="A1" s="2" t="inlineStr">
        <is>
          <t>id</t>
        </is>
      </c>
      <c r="B1" s="2" t="inlineStr">
        <is>
          <t>line</t>
        </is>
      </c>
      <c r="C1" s="2" t="inlineStr">
        <is>
          <t>unit</t>
        </is>
      </c>
      <c r="D1" s="2" t="inlineStr">
        <is>
          <t>grade · decision</t>
        </is>
      </c>
      <c r="E1" s="2" t="inlineStr">
        <is>
          <t>1Q23</t>
        </is>
      </c>
      <c r="F1" s="2" t="inlineStr">
        <is>
          <t>2Q23</t>
        </is>
      </c>
      <c r="G1" s="2" t="inlineStr">
        <is>
          <t>3Q23</t>
        </is>
      </c>
      <c r="H1" s="2" t="inlineStr">
        <is>
          <t>4Q23</t>
        </is>
      </c>
      <c r="I1" s="2" t="inlineStr">
        <is>
          <t>1Q24</t>
        </is>
      </c>
      <c r="J1" s="2" t="inlineStr">
        <is>
          <t>2Q24</t>
        </is>
      </c>
      <c r="K1" s="2" t="inlineStr">
        <is>
          <t>3Q24</t>
        </is>
      </c>
      <c r="L1" s="2" t="inlineStr">
        <is>
          <t>4Q24</t>
        </is>
      </c>
      <c r="M1" s="2" t="inlineStr">
        <is>
          <t>1Q25</t>
        </is>
      </c>
      <c r="N1" s="2" t="inlineStr">
        <is>
          <t>2Q25</t>
        </is>
      </c>
      <c r="O1" s="2" t="inlineStr">
        <is>
          <t>3Q25</t>
        </is>
      </c>
      <c r="P1" s="2" t="inlineStr">
        <is>
          <t>4Q25</t>
        </is>
      </c>
      <c r="Q1" s="2" t="inlineStr">
        <is>
          <t>1Q26</t>
        </is>
      </c>
      <c r="R1" s="2" t="inlineStr">
        <is>
          <t>2Q26</t>
        </is>
      </c>
      <c r="S1" s="2" t="inlineStr">
        <is>
          <t>3Q26</t>
        </is>
      </c>
      <c r="T1" s="2" t="inlineStr">
        <is>
          <t>4Q26</t>
        </is>
      </c>
      <c r="U1" s="2" t="inlineStr">
        <is>
          <t>1Q27</t>
        </is>
      </c>
      <c r="V1" s="2" t="inlineStr">
        <is>
          <t>2Q27</t>
        </is>
      </c>
      <c r="W1" s="2" t="inlineStr">
        <is>
          <t>3Q27</t>
        </is>
      </c>
      <c r="X1" s="2" t="inlineStr">
        <is>
          <t>4Q27</t>
        </is>
      </c>
      <c r="Y1" s="2" t="inlineStr">
        <is>
          <t>FY26</t>
        </is>
      </c>
      <c r="Z1" s="2" t="inlineStr">
        <is>
          <t>FY27</t>
        </is>
      </c>
      <c r="AA1" s="2" t="inlineStr">
        <is>
          <t>ALL</t>
        </is>
      </c>
    </row>
    <row r="2">
      <c r="A2" t="inlineStr">
        <is>
          <t>COR</t>
        </is>
      </c>
      <c r="B2" t="inlineStr">
        <is>
          <t>Cost of revenue, cash ($M)</t>
        </is>
      </c>
      <c r="C2" t="inlineStr">
        <is>
          <t>musd</t>
        </is>
      </c>
      <c r="D2" t="inlineStr">
        <is>
          <t>B · DEC-0003</t>
        </is>
      </c>
      <c r="E2" s="7">
        <f>INDEX('Scenario Data'!$E$73:$G$73,MATCH(Scenario,'Scenario Data'!$E$1:$G$1,0))</f>
        <v/>
      </c>
      <c r="F2" s="7">
        <f>INDEX('Scenario Data'!$E$74:$G$74,MATCH(Scenario,'Scenario Data'!$E$1:$G$1,0))</f>
        <v/>
      </c>
      <c r="G2" s="7">
        <f>INDEX('Scenario Data'!$E$75:$G$75,MATCH(Scenario,'Scenario Data'!$E$1:$G$1,0))</f>
        <v/>
      </c>
      <c r="H2" s="7">
        <f>INDEX('Scenario Data'!$E$76:$G$76,MATCH(Scenario,'Scenario Data'!$E$1:$G$1,0))</f>
        <v/>
      </c>
      <c r="I2" s="7">
        <f>INDEX('Scenario Data'!$E$77:$G$77,MATCH(Scenario,'Scenario Data'!$E$1:$G$1,0))</f>
        <v/>
      </c>
      <c r="J2" s="7">
        <f>INDEX('Scenario Data'!$E$78:$G$78,MATCH(Scenario,'Scenario Data'!$E$1:$G$1,0))</f>
        <v/>
      </c>
      <c r="K2" s="7">
        <f>INDEX('Scenario Data'!$E$79:$G$79,MATCH(Scenario,'Scenario Data'!$E$1:$G$1,0))</f>
        <v/>
      </c>
      <c r="L2" s="7">
        <f>INDEX('Scenario Data'!$E$80:$G$80,MATCH(Scenario,'Scenario Data'!$E$1:$G$1,0))</f>
        <v/>
      </c>
      <c r="M2" s="7">
        <f>INDEX('Scenario Data'!$E$81:$G$81,MATCH(Scenario,'Scenario Data'!$E$1:$G$1,0))</f>
        <v/>
      </c>
      <c r="N2" s="7">
        <f>INDEX('Scenario Data'!$E$82:$G$82,MATCH(Scenario,'Scenario Data'!$E$1:$G$1,0))</f>
        <v/>
      </c>
      <c r="O2" s="7">
        <f>INDEX('Scenario Data'!$E$83:$G$83,MATCH(Scenario,'Scenario Data'!$E$1:$G$1,0))</f>
        <v/>
      </c>
      <c r="P2" s="7">
        <f>INDEX('Scenario Data'!$E$84:$G$84,MATCH(Scenario,'Scenario Data'!$E$1:$G$1,0))</f>
        <v/>
      </c>
      <c r="Q2" s="7">
        <f>INDEX('Scenario Data'!$E$85:$G$85,MATCH(Scenario,'Scenario Data'!$E$1:$G$1,0))</f>
        <v/>
      </c>
      <c r="R2" s="7">
        <f>INDEX('Scenario Data'!$E$86:$G$86,MATCH(Scenario,'Scenario Data'!$E$1:$G$1,0))</f>
        <v/>
      </c>
    </row>
    <row r="3">
      <c r="A3" t="inlineStr">
        <is>
          <t>OPS</t>
        </is>
      </c>
      <c r="B3" t="inlineStr">
        <is>
          <t>Operations &amp; support, cash ($M)</t>
        </is>
      </c>
      <c r="C3" t="inlineStr">
        <is>
          <t>musd</t>
        </is>
      </c>
      <c r="D3" t="inlineStr">
        <is>
          <t>B · DEC-0003</t>
        </is>
      </c>
      <c r="E3" s="7">
        <f>INDEX('Scenario Data'!$E$87:$G$87,MATCH(Scenario,'Scenario Data'!$E$1:$G$1,0))</f>
        <v/>
      </c>
      <c r="F3" s="7">
        <f>INDEX('Scenario Data'!$E$88:$G$88,MATCH(Scenario,'Scenario Data'!$E$1:$G$1,0))</f>
        <v/>
      </c>
      <c r="G3" s="7">
        <f>INDEX('Scenario Data'!$E$89:$G$89,MATCH(Scenario,'Scenario Data'!$E$1:$G$1,0))</f>
        <v/>
      </c>
      <c r="H3" s="7">
        <f>INDEX('Scenario Data'!$E$90:$G$90,MATCH(Scenario,'Scenario Data'!$E$1:$G$1,0))</f>
        <v/>
      </c>
      <c r="I3" s="7">
        <f>INDEX('Scenario Data'!$E$91:$G$91,MATCH(Scenario,'Scenario Data'!$E$1:$G$1,0))</f>
        <v/>
      </c>
      <c r="J3" s="7">
        <f>INDEX('Scenario Data'!$E$92:$G$92,MATCH(Scenario,'Scenario Data'!$E$1:$G$1,0))</f>
        <v/>
      </c>
      <c r="K3" s="7">
        <f>INDEX('Scenario Data'!$E$93:$G$93,MATCH(Scenario,'Scenario Data'!$E$1:$G$1,0))</f>
        <v/>
      </c>
      <c r="L3" s="7">
        <f>INDEX('Scenario Data'!$E$94:$G$94,MATCH(Scenario,'Scenario Data'!$E$1:$G$1,0))</f>
        <v/>
      </c>
      <c r="M3" s="7">
        <f>INDEX('Scenario Data'!$E$95:$G$95,MATCH(Scenario,'Scenario Data'!$E$1:$G$1,0))</f>
        <v/>
      </c>
      <c r="N3" s="7">
        <f>INDEX('Scenario Data'!$E$96:$G$96,MATCH(Scenario,'Scenario Data'!$E$1:$G$1,0))</f>
        <v/>
      </c>
      <c r="O3" s="7">
        <f>INDEX('Scenario Data'!$E$97:$G$97,MATCH(Scenario,'Scenario Data'!$E$1:$G$1,0))</f>
        <v/>
      </c>
      <c r="P3" s="7">
        <f>INDEX('Scenario Data'!$E$98:$G$98,MATCH(Scenario,'Scenario Data'!$E$1:$G$1,0))</f>
        <v/>
      </c>
      <c r="Q3" s="7">
        <f>INDEX('Scenario Data'!$E$99:$G$99,MATCH(Scenario,'Scenario Data'!$E$1:$G$1,0))</f>
        <v/>
      </c>
      <c r="R3" s="7">
        <f>INDEX('Scenario Data'!$E$100:$G$100,MATCH(Scenario,'Scenario Data'!$E$1:$G$1,0))</f>
        <v/>
      </c>
    </row>
    <row r="4">
      <c r="A4" t="inlineStr">
        <is>
          <t>PD</t>
        </is>
      </c>
      <c r="B4" t="inlineStr">
        <is>
          <t>Product development, cash ($M)</t>
        </is>
      </c>
      <c r="C4" t="inlineStr">
        <is>
          <t>musd</t>
        </is>
      </c>
      <c r="D4" t="inlineStr">
        <is>
          <t>B · DEC-0003</t>
        </is>
      </c>
      <c r="E4" s="7">
        <f>INDEX('Scenario Data'!$E$101:$G$101,MATCH(Scenario,'Scenario Data'!$E$1:$G$1,0))</f>
        <v/>
      </c>
      <c r="F4" s="7">
        <f>INDEX('Scenario Data'!$E$102:$G$102,MATCH(Scenario,'Scenario Data'!$E$1:$G$1,0))</f>
        <v/>
      </c>
      <c r="G4" s="7">
        <f>INDEX('Scenario Data'!$E$103:$G$103,MATCH(Scenario,'Scenario Data'!$E$1:$G$1,0))</f>
        <v/>
      </c>
      <c r="H4" s="7">
        <f>INDEX('Scenario Data'!$E$104:$G$104,MATCH(Scenario,'Scenario Data'!$E$1:$G$1,0))</f>
        <v/>
      </c>
      <c r="I4" s="7">
        <f>INDEX('Scenario Data'!$E$105:$G$105,MATCH(Scenario,'Scenario Data'!$E$1:$G$1,0))</f>
        <v/>
      </c>
      <c r="J4" s="7">
        <f>INDEX('Scenario Data'!$E$106:$G$106,MATCH(Scenario,'Scenario Data'!$E$1:$G$1,0))</f>
        <v/>
      </c>
      <c r="K4" s="7">
        <f>INDEX('Scenario Data'!$E$107:$G$107,MATCH(Scenario,'Scenario Data'!$E$1:$G$1,0))</f>
        <v/>
      </c>
      <c r="L4" s="7">
        <f>INDEX('Scenario Data'!$E$108:$G$108,MATCH(Scenario,'Scenario Data'!$E$1:$G$1,0))</f>
        <v/>
      </c>
      <c r="M4" s="7">
        <f>INDEX('Scenario Data'!$E$109:$G$109,MATCH(Scenario,'Scenario Data'!$E$1:$G$1,0))</f>
        <v/>
      </c>
      <c r="N4" s="7">
        <f>INDEX('Scenario Data'!$E$110:$G$110,MATCH(Scenario,'Scenario Data'!$E$1:$G$1,0))</f>
        <v/>
      </c>
      <c r="O4" s="7">
        <f>INDEX('Scenario Data'!$E$111:$G$111,MATCH(Scenario,'Scenario Data'!$E$1:$G$1,0))</f>
        <v/>
      </c>
      <c r="P4" s="7">
        <f>INDEX('Scenario Data'!$E$112:$G$112,MATCH(Scenario,'Scenario Data'!$E$1:$G$1,0))</f>
        <v/>
      </c>
      <c r="Q4" s="7">
        <f>INDEX('Scenario Data'!$E$113:$G$113,MATCH(Scenario,'Scenario Data'!$E$1:$G$1,0))</f>
        <v/>
      </c>
      <c r="R4" s="7">
        <f>INDEX('Scenario Data'!$E$114:$G$114,MATCH(Scenario,'Scenario Data'!$E$1:$G$1,0))</f>
        <v/>
      </c>
    </row>
    <row r="5">
      <c r="A5" t="inlineStr">
        <is>
          <t>GA</t>
        </is>
      </c>
      <c r="B5" t="inlineStr">
        <is>
          <t>G&amp;A ex lodging reserve, cash ($M)</t>
        </is>
      </c>
      <c r="C5" t="inlineStr">
        <is>
          <t>musd</t>
        </is>
      </c>
      <c r="D5" t="inlineStr">
        <is>
          <t>B · DEC-0003</t>
        </is>
      </c>
      <c r="E5" s="7">
        <f>INDEX('Scenario Data'!$E$115:$G$115,MATCH(Scenario,'Scenario Data'!$E$1:$G$1,0))</f>
        <v/>
      </c>
      <c r="F5" s="7">
        <f>INDEX('Scenario Data'!$E$116:$G$116,MATCH(Scenario,'Scenario Data'!$E$1:$G$1,0))</f>
        <v/>
      </c>
      <c r="G5" s="7">
        <f>INDEX('Scenario Data'!$E$117:$G$117,MATCH(Scenario,'Scenario Data'!$E$1:$G$1,0))</f>
        <v/>
      </c>
      <c r="H5" s="7">
        <f>INDEX('Scenario Data'!$E$118:$G$118,MATCH(Scenario,'Scenario Data'!$E$1:$G$1,0))</f>
        <v/>
      </c>
      <c r="I5" s="7">
        <f>INDEX('Scenario Data'!$E$119:$G$119,MATCH(Scenario,'Scenario Data'!$E$1:$G$1,0))</f>
        <v/>
      </c>
      <c r="J5" s="7">
        <f>INDEX('Scenario Data'!$E$120:$G$120,MATCH(Scenario,'Scenario Data'!$E$1:$G$1,0))</f>
        <v/>
      </c>
      <c r="K5" s="7">
        <f>INDEX('Scenario Data'!$E$121:$G$121,MATCH(Scenario,'Scenario Data'!$E$1:$G$1,0))</f>
        <v/>
      </c>
      <c r="L5" s="7">
        <f>INDEX('Scenario Data'!$E$122:$G$122,MATCH(Scenario,'Scenario Data'!$E$1:$G$1,0))</f>
        <v/>
      </c>
      <c r="M5" s="7">
        <f>INDEX('Scenario Data'!$E$123:$G$123,MATCH(Scenario,'Scenario Data'!$E$1:$G$1,0))</f>
        <v/>
      </c>
      <c r="N5" s="7">
        <f>INDEX('Scenario Data'!$E$124:$G$124,MATCH(Scenario,'Scenario Data'!$E$1:$G$1,0))</f>
        <v/>
      </c>
      <c r="O5" s="7">
        <f>INDEX('Scenario Data'!$E$125:$G$125,MATCH(Scenario,'Scenario Data'!$E$1:$G$1,0))</f>
        <v/>
      </c>
      <c r="P5" s="7">
        <f>INDEX('Scenario Data'!$E$126:$G$126,MATCH(Scenario,'Scenario Data'!$E$1:$G$1,0))</f>
        <v/>
      </c>
      <c r="Q5" s="7">
        <f>INDEX('Scenario Data'!$E$127:$G$127,MATCH(Scenario,'Scenario Data'!$E$1:$G$1,0))</f>
        <v/>
      </c>
      <c r="R5" s="7">
        <f>INDEX('Scenario Data'!$E$128:$G$128,MATCH(Scenario,'Scenario Data'!$E$1:$G$1,0))</f>
        <v/>
      </c>
    </row>
    <row r="6">
      <c r="A6" t="inlineStr">
        <is>
          <t>SBC</t>
        </is>
      </c>
      <c r="B6" t="inlineStr">
        <is>
          <t>Stock-based compensation, total ($M)</t>
        </is>
      </c>
      <c r="C6" t="inlineStr">
        <is>
          <t>musd</t>
        </is>
      </c>
      <c r="D6" t="inlineStr">
        <is>
          <t>B · DEC-0003</t>
        </is>
      </c>
      <c r="E6" s="7">
        <f>INDEX('Scenario Data'!$E$129:$G$129,MATCH(Scenario,'Scenario Data'!$E$1:$G$1,0))</f>
        <v/>
      </c>
      <c r="F6" s="7">
        <f>INDEX('Scenario Data'!$E$130:$G$130,MATCH(Scenario,'Scenario Data'!$E$1:$G$1,0))</f>
        <v/>
      </c>
      <c r="G6" s="7">
        <f>INDEX('Scenario Data'!$E$131:$G$131,MATCH(Scenario,'Scenario Data'!$E$1:$G$1,0))</f>
        <v/>
      </c>
      <c r="H6" s="7">
        <f>INDEX('Scenario Data'!$E$132:$G$132,MATCH(Scenario,'Scenario Data'!$E$1:$G$1,0))</f>
        <v/>
      </c>
      <c r="I6" s="7">
        <f>INDEX('Scenario Data'!$E$133:$G$133,MATCH(Scenario,'Scenario Data'!$E$1:$G$1,0))</f>
        <v/>
      </c>
      <c r="J6" s="7">
        <f>INDEX('Scenario Data'!$E$134:$G$134,MATCH(Scenario,'Scenario Data'!$E$1:$G$1,0))</f>
        <v/>
      </c>
      <c r="K6" s="7">
        <f>INDEX('Scenario Data'!$E$135:$G$135,MATCH(Scenario,'Scenario Data'!$E$1:$G$1,0))</f>
        <v/>
      </c>
      <c r="L6" s="7">
        <f>INDEX('Scenario Data'!$E$136:$G$136,MATCH(Scenario,'Scenario Data'!$E$1:$G$1,0))</f>
        <v/>
      </c>
      <c r="M6" s="7">
        <f>INDEX('Scenario Data'!$E$137:$G$137,MATCH(Scenario,'Scenario Data'!$E$1:$G$1,0))</f>
        <v/>
      </c>
      <c r="N6" s="7">
        <f>INDEX('Scenario Data'!$E$138:$G$138,MATCH(Scenario,'Scenario Data'!$E$1:$G$1,0))</f>
        <v/>
      </c>
      <c r="O6" s="7">
        <f>INDEX('Scenario Data'!$E$139:$G$139,MATCH(Scenario,'Scenario Data'!$E$1:$G$1,0))</f>
        <v/>
      </c>
      <c r="P6" s="7">
        <f>INDEX('Scenario Data'!$E$140:$G$140,MATCH(Scenario,'Scenario Data'!$E$1:$G$1,0))</f>
        <v/>
      </c>
      <c r="Q6" s="7">
        <f>INDEX('Scenario Data'!$E$141:$G$141,MATCH(Scenario,'Scenario Data'!$E$1:$G$1,0))</f>
        <v/>
      </c>
      <c r="R6" s="7">
        <f>INDEX('Scenario Data'!$E$142:$G$142,MATCH(Scenario,'Scenario Data'!$E$1:$G$1,0))</f>
        <v/>
      </c>
    </row>
    <row r="7">
      <c r="A7" t="inlineStr">
        <is>
          <t>DA</t>
        </is>
      </c>
      <c r="B7" t="inlineStr">
        <is>
          <t>Depreciation &amp; amortization ($M)</t>
        </is>
      </c>
      <c r="C7" t="inlineStr">
        <is>
          <t>musd</t>
        </is>
      </c>
      <c r="D7" t="inlineStr">
        <is>
          <t>B · DEC-0003</t>
        </is>
      </c>
      <c r="E7" s="7">
        <f>INDEX('Scenario Data'!$E$143:$G$143,MATCH(Scenario,'Scenario Data'!$E$1:$G$1,0))</f>
        <v/>
      </c>
      <c r="F7" s="7">
        <f>INDEX('Scenario Data'!$E$144:$G$144,MATCH(Scenario,'Scenario Data'!$E$1:$G$1,0))</f>
        <v/>
      </c>
      <c r="G7" s="7">
        <f>INDEX('Scenario Data'!$E$145:$G$145,MATCH(Scenario,'Scenario Data'!$E$1:$G$1,0))</f>
        <v/>
      </c>
      <c r="H7" s="7">
        <f>INDEX('Scenario Data'!$E$146:$G$146,MATCH(Scenario,'Scenario Data'!$E$1:$G$1,0))</f>
        <v/>
      </c>
      <c r="I7" s="7">
        <f>INDEX('Scenario Data'!$E$147:$G$147,MATCH(Scenario,'Scenario Data'!$E$1:$G$1,0))</f>
        <v/>
      </c>
      <c r="J7" s="7">
        <f>INDEX('Scenario Data'!$E$148:$G$148,MATCH(Scenario,'Scenario Data'!$E$1:$G$1,0))</f>
        <v/>
      </c>
      <c r="K7" s="7">
        <f>INDEX('Scenario Data'!$E$149:$G$149,MATCH(Scenario,'Scenario Data'!$E$1:$G$1,0))</f>
        <v/>
      </c>
      <c r="L7" s="7">
        <f>INDEX('Scenario Data'!$E$150:$G$150,MATCH(Scenario,'Scenario Data'!$E$1:$G$1,0))</f>
        <v/>
      </c>
      <c r="M7" s="7">
        <f>INDEX('Scenario Data'!$E$151:$G$151,MATCH(Scenario,'Scenario Data'!$E$1:$G$1,0))</f>
        <v/>
      </c>
      <c r="N7" s="7">
        <f>INDEX('Scenario Data'!$E$152:$G$152,MATCH(Scenario,'Scenario Data'!$E$1:$G$1,0))</f>
        <v/>
      </c>
      <c r="O7" s="7">
        <f>INDEX('Scenario Data'!$E$153:$G$153,MATCH(Scenario,'Scenario Data'!$E$1:$G$1,0))</f>
        <v/>
      </c>
      <c r="P7" s="7">
        <f>INDEX('Scenario Data'!$E$154:$G$154,MATCH(Scenario,'Scenario Data'!$E$1:$G$1,0))</f>
        <v/>
      </c>
      <c r="Q7" s="7">
        <f>INDEX('Scenario Data'!$E$155:$G$155,MATCH(Scenario,'Scenario Data'!$E$1:$G$1,0))</f>
        <v/>
      </c>
      <c r="R7" s="7">
        <f>INDEX('Scenario Data'!$E$156:$G$156,MATCH(Scenario,'Scenario Data'!$E$1:$G$1,0))</f>
        <v/>
      </c>
    </row>
    <row r="8">
      <c r="A8" t="inlineStr">
        <is>
          <t>EBITDA</t>
        </is>
      </c>
      <c r="B8" t="inlineStr">
        <is>
          <t>Adjusted EBITDA ($M)</t>
        </is>
      </c>
      <c r="C8" t="inlineStr">
        <is>
          <t>musd</t>
        </is>
      </c>
      <c r="D8" t="inlineStr">
        <is>
          <t>B · DEC-0003</t>
        </is>
      </c>
      <c r="E8" s="7">
        <f>INDEX('Scenario Data'!$E$157:$G$157,MATCH(Scenario,'Scenario Data'!$E$1:$G$1,0))</f>
        <v/>
      </c>
      <c r="F8" s="7">
        <f>INDEX('Scenario Data'!$E$158:$G$158,MATCH(Scenario,'Scenario Data'!$E$1:$G$1,0))</f>
        <v/>
      </c>
      <c r="G8" s="7">
        <f>INDEX('Scenario Data'!$E$159:$G$159,MATCH(Scenario,'Scenario Data'!$E$1:$G$1,0))</f>
        <v/>
      </c>
      <c r="H8" s="7">
        <f>INDEX('Scenario Data'!$E$160:$G$160,MATCH(Scenario,'Scenario Data'!$E$1:$G$1,0))</f>
        <v/>
      </c>
      <c r="I8" s="7">
        <f>INDEX('Scenario Data'!$E$161:$G$161,MATCH(Scenario,'Scenario Data'!$E$1:$G$1,0))</f>
        <v/>
      </c>
      <c r="J8" s="7">
        <f>INDEX('Scenario Data'!$E$162:$G$162,MATCH(Scenario,'Scenario Data'!$E$1:$G$1,0))</f>
        <v/>
      </c>
      <c r="K8" s="7">
        <f>INDEX('Scenario Data'!$E$163:$G$163,MATCH(Scenario,'Scenario Data'!$E$1:$G$1,0))</f>
        <v/>
      </c>
      <c r="L8" s="7">
        <f>INDEX('Scenario Data'!$E$164:$G$164,MATCH(Scenario,'Scenario Data'!$E$1:$G$1,0))</f>
        <v/>
      </c>
      <c r="M8" s="7">
        <f>INDEX('Scenario Data'!$E$165:$G$165,MATCH(Scenario,'Scenario Data'!$E$1:$G$1,0))</f>
        <v/>
      </c>
      <c r="N8" s="7">
        <f>INDEX('Scenario Data'!$E$166:$G$166,MATCH(Scenario,'Scenario Data'!$E$1:$G$1,0))</f>
        <v/>
      </c>
      <c r="O8" s="7">
        <f>INDEX('Scenario Data'!$E$167:$G$167,MATCH(Scenario,'Scenario Data'!$E$1:$G$1,0))</f>
        <v/>
      </c>
      <c r="P8" s="7">
        <f>INDEX('Scenario Data'!$E$168:$G$168,MATCH(Scenario,'Scenario Data'!$E$1:$G$1,0))</f>
        <v/>
      </c>
      <c r="Q8" s="7">
        <f>INDEX('Scenario Data'!$E$169:$G$169,MATCH(Scenario,'Scenario Data'!$E$1:$G$1,0))</f>
        <v/>
      </c>
      <c r="R8" s="7">
        <f>INDEX('Scenario Data'!$E$170:$G$170,MATCH(Scenario,'Scenario Data'!$E$1:$G$1,0))</f>
        <v/>
      </c>
    </row>
    <row r="9">
      <c r="A9" t="inlineStr">
        <is>
          <t>SHARES</t>
        </is>
      </c>
      <c r="B9" t="inlineStr">
        <is>
          <t>Diluted shares, historical (m)</t>
        </is>
      </c>
      <c r="C9" t="inlineStr">
        <is>
          <t>m</t>
        </is>
      </c>
      <c r="D9" t="inlineStr">
        <is>
          <t>B · DEC-0003</t>
        </is>
      </c>
      <c r="E9" s="4">
        <f>INDEX('Scenario Data'!$E$171:$G$171,MATCH(Scenario,'Scenario Data'!$E$1:$G$1,0))</f>
        <v/>
      </c>
      <c r="F9" s="4">
        <f>INDEX('Scenario Data'!$E$172:$G$172,MATCH(Scenario,'Scenario Data'!$E$1:$G$1,0))</f>
        <v/>
      </c>
      <c r="G9" s="4">
        <f>INDEX('Scenario Data'!$E$173:$G$173,MATCH(Scenario,'Scenario Data'!$E$1:$G$1,0))</f>
        <v/>
      </c>
      <c r="H9" s="4">
        <f>INDEX('Scenario Data'!$E$174:$G$174,MATCH(Scenario,'Scenario Data'!$E$1:$G$1,0))</f>
        <v/>
      </c>
      <c r="I9" s="4">
        <f>INDEX('Scenario Data'!$E$175:$G$175,MATCH(Scenario,'Scenario Data'!$E$1:$G$1,0))</f>
        <v/>
      </c>
      <c r="J9" s="4">
        <f>INDEX('Scenario Data'!$E$176:$G$176,MATCH(Scenario,'Scenario Data'!$E$1:$G$1,0))</f>
        <v/>
      </c>
      <c r="K9" s="4">
        <f>INDEX('Scenario Data'!$E$177:$G$177,MATCH(Scenario,'Scenario Data'!$E$1:$G$1,0))</f>
        <v/>
      </c>
      <c r="L9" s="4">
        <f>INDEX('Scenario Data'!$E$178:$G$178,MATCH(Scenario,'Scenario Data'!$E$1:$G$1,0))</f>
        <v/>
      </c>
      <c r="M9" s="4">
        <f>INDEX('Scenario Data'!$E$179:$G$179,MATCH(Scenario,'Scenario Data'!$E$1:$G$1,0))</f>
        <v/>
      </c>
      <c r="N9" s="4">
        <f>INDEX('Scenario Data'!$E$180:$G$180,MATCH(Scenario,'Scenario Data'!$E$1:$G$1,0))</f>
        <v/>
      </c>
      <c r="O9" s="4">
        <f>INDEX('Scenario Data'!$E$181:$G$181,MATCH(Scenario,'Scenario Data'!$E$1:$G$1,0))</f>
        <v/>
      </c>
      <c r="P9" s="4">
        <f>INDEX('Scenario Data'!$E$182:$G$182,MATCH(Scenario,'Scenario Data'!$E$1:$G$1,0))</f>
        <v/>
      </c>
      <c r="Q9" s="4">
        <f>INDEX('Scenario Data'!$E$183:$G$183,MATCH(Scenario,'Scenario Data'!$E$1:$G$1,0))</f>
        <v/>
      </c>
      <c r="R9" s="4">
        <f>INDEX('Scenario Data'!$E$184:$G$184,MATCH(Scenario,'Scenario Data'!$E$1:$G$1,0))</f>
        <v/>
      </c>
    </row>
    <row r="10">
      <c r="A10" t="inlineStr">
        <is>
          <t>SM</t>
        </is>
      </c>
      <c r="B10" t="inlineStr">
        <is>
          <t>Sales &amp; marketing, cash ($M)</t>
        </is>
      </c>
      <c r="C10" t="inlineStr">
        <is>
          <t>musd</t>
        </is>
      </c>
      <c r="D10" t="inlineStr">
        <is>
          <t>B · DEC-0003 / B · DEC-0011</t>
        </is>
      </c>
      <c r="E10" s="7">
        <f>INDEX('Scenario Data'!$E$185:$G$185,MATCH(Scenario,'Scenario Data'!$E$1:$G$1,0))</f>
        <v/>
      </c>
      <c r="F10" s="7">
        <f>INDEX('Scenario Data'!$E$186:$G$186,MATCH(Scenario,'Scenario Data'!$E$1:$G$1,0))</f>
        <v/>
      </c>
      <c r="G10" s="7">
        <f>INDEX('Scenario Data'!$E$187:$G$187,MATCH(Scenario,'Scenario Data'!$E$1:$G$1,0))</f>
        <v/>
      </c>
      <c r="H10" s="7">
        <f>INDEX('Scenario Data'!$E$188:$G$188,MATCH(Scenario,'Scenario Data'!$E$1:$G$1,0))</f>
        <v/>
      </c>
      <c r="I10" s="7">
        <f>INDEX('Scenario Data'!$E$189:$G$189,MATCH(Scenario,'Scenario Data'!$E$1:$G$1,0))</f>
        <v/>
      </c>
      <c r="J10" s="7">
        <f>INDEX('Scenario Data'!$E$190:$G$190,MATCH(Scenario,'Scenario Data'!$E$1:$G$1,0))</f>
        <v/>
      </c>
      <c r="K10" s="7">
        <f>INDEX('Scenario Data'!$E$191:$G$191,MATCH(Scenario,'Scenario Data'!$E$1:$G$1,0))</f>
        <v/>
      </c>
      <c r="L10" s="7">
        <f>INDEX('Scenario Data'!$E$192:$G$192,MATCH(Scenario,'Scenario Data'!$E$1:$G$1,0))</f>
        <v/>
      </c>
      <c r="M10" s="7">
        <f>INDEX('Scenario Data'!$E$193:$G$193,MATCH(Scenario,'Scenario Data'!$E$1:$G$1,0))</f>
        <v/>
      </c>
      <c r="N10" s="7">
        <f>INDEX('Scenario Data'!$E$194:$G$194,MATCH(Scenario,'Scenario Data'!$E$1:$G$1,0))</f>
        <v/>
      </c>
      <c r="O10" s="7">
        <f>INDEX('Scenario Data'!$E$195:$G$195,MATCH(Scenario,'Scenario Data'!$E$1:$G$1,0))</f>
        <v/>
      </c>
      <c r="P10" s="7">
        <f>INDEX('Scenario Data'!$E$196:$G$196,MATCH(Scenario,'Scenario Data'!$E$1:$G$1,0))</f>
        <v/>
      </c>
      <c r="Q10" s="7">
        <f>INDEX('Scenario Data'!$E$197:$G$197,MATCH(Scenario,'Scenario Data'!$E$1:$G$1,0))</f>
        <v/>
      </c>
      <c r="R10" s="7">
        <f>INDEX('Scenario Data'!$E$198:$G$198,MATCH(Scenario,'Scenario Data'!$E$1:$G$1,0))</f>
        <v/>
      </c>
      <c r="S10" s="7">
        <f>INDEX('Scenario Data'!$E$199:$G$199,MATCH(Scenario,'Scenario Data'!$E$1:$G$1,0))</f>
        <v/>
      </c>
      <c r="T10" s="7">
        <f>INDEX('Scenario Data'!$E$200:$G$200,MATCH(Scenario,'Scenario Data'!$E$1:$G$1,0))</f>
        <v/>
      </c>
      <c r="Y10" s="7">
        <f>INDEX('Scenario Data'!$E$201:$G$201,MATCH(Scenario,'Scenario Data'!$E$1:$G$1,0))</f>
        <v/>
      </c>
      <c r="Z10" s="7">
        <f>INDEX('Scenario Data'!$E$202:$G$202,MATCH(Scenario,'Scenario Data'!$E$1:$G$1,0))</f>
        <v/>
      </c>
    </row>
    <row r="11">
      <c r="A11" t="inlineStr">
        <is>
          <t>STREET_EBITDA</t>
        </is>
      </c>
      <c r="B11" t="inlineStr">
        <is>
          <t>Street adjusted EBITDA ($M)</t>
        </is>
      </c>
      <c r="C11" t="inlineStr">
        <is>
          <t>musd</t>
        </is>
      </c>
      <c r="D11" t="inlineStr">
        <is>
          <t>B · DEC-0013</t>
        </is>
      </c>
      <c r="S11" s="7">
        <f>INDEX('Scenario Data'!$E$203:$G$203,MATCH(Scenario,'Scenario Data'!$E$1:$G$1,0))</f>
        <v/>
      </c>
      <c r="Z11" s="7">
        <f>INDEX('Scenario Data'!$E$204:$G$204,MATCH(Scenario,'Scenario Data'!$E$1:$G$1,0))</f>
        <v/>
      </c>
    </row>
    <row r="12">
      <c r="A12" t="inlineStr">
        <is>
          <t>STREET_EPS</t>
        </is>
      </c>
      <c r="B12" t="inlineStr">
        <is>
          <t>Street diluted EPS ($)</t>
        </is>
      </c>
      <c r="C12" t="inlineStr">
        <is>
          <t>usd</t>
        </is>
      </c>
      <c r="D12" t="inlineStr">
        <is>
          <t>B · DEC-0013</t>
        </is>
      </c>
      <c r="S12" s="5">
        <f>INDEX('Scenario Data'!$E$205:$G$205,MATCH(Scenario,'Scenario Data'!$E$1:$G$1,0))</f>
        <v/>
      </c>
      <c r="Z12" s="5">
        <f>INDEX('Scenario Data'!$E$206:$G$206,MATCH(Scenario,'Scenario Data'!$E$1:$G$1,0))</f>
        <v/>
      </c>
    </row>
    <row r="13">
      <c r="A13" t="inlineStr">
        <is>
          <t>STREET_MARGIN</t>
        </is>
      </c>
      <c r="B13" t="inlineStr">
        <is>
          <t>Street adjusted EBITDA margin (%)</t>
        </is>
      </c>
      <c r="C13" t="inlineStr">
        <is>
          <t>pct</t>
        </is>
      </c>
      <c r="D13" t="inlineStr">
        <is>
          <t>B · DEC-0013</t>
        </is>
      </c>
      <c r="Z13" s="9">
        <f>INDEX('Scenario Data'!$E$207:$G$207,MATCH(Scenario,'Scenario Data'!$E$1:$G$1,0))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8" customWidth="1" min="4" max="4"/>
  </cols>
  <sheetData>
    <row r="1">
      <c r="A1" s="2" t="inlineStr">
        <is>
          <t>id</t>
        </is>
      </c>
      <c r="B1" s="2" t="inlineStr">
        <is>
          <t>line</t>
        </is>
      </c>
      <c r="C1" s="2" t="inlineStr">
        <is>
          <t>unit</t>
        </is>
      </c>
      <c r="D1" s="2" t="inlineStr">
        <is>
          <t>grade · decision</t>
        </is>
      </c>
      <c r="E1" s="2" t="inlineStr">
        <is>
          <t>1Q23</t>
        </is>
      </c>
      <c r="F1" s="2" t="inlineStr">
        <is>
          <t>2Q23</t>
        </is>
      </c>
      <c r="G1" s="2" t="inlineStr">
        <is>
          <t>3Q23</t>
        </is>
      </c>
      <c r="H1" s="2" t="inlineStr">
        <is>
          <t>4Q23</t>
        </is>
      </c>
      <c r="I1" s="2" t="inlineStr">
        <is>
          <t>1Q24</t>
        </is>
      </c>
      <c r="J1" s="2" t="inlineStr">
        <is>
          <t>2Q24</t>
        </is>
      </c>
      <c r="K1" s="2" t="inlineStr">
        <is>
          <t>3Q24</t>
        </is>
      </c>
      <c r="L1" s="2" t="inlineStr">
        <is>
          <t>4Q24</t>
        </is>
      </c>
      <c r="M1" s="2" t="inlineStr">
        <is>
          <t>1Q25</t>
        </is>
      </c>
      <c r="N1" s="2" t="inlineStr">
        <is>
          <t>2Q25</t>
        </is>
      </c>
      <c r="O1" s="2" t="inlineStr">
        <is>
          <t>3Q25</t>
        </is>
      </c>
      <c r="P1" s="2" t="inlineStr">
        <is>
          <t>4Q25</t>
        </is>
      </c>
      <c r="Q1" s="2" t="inlineStr">
        <is>
          <t>1Q26</t>
        </is>
      </c>
      <c r="R1" s="2" t="inlineStr">
        <is>
          <t>2Q26</t>
        </is>
      </c>
      <c r="S1" s="2" t="inlineStr">
        <is>
          <t>3Q26</t>
        </is>
      </c>
      <c r="T1" s="2" t="inlineStr">
        <is>
          <t>4Q26</t>
        </is>
      </c>
      <c r="U1" s="2" t="inlineStr">
        <is>
          <t>1Q27</t>
        </is>
      </c>
      <c r="V1" s="2" t="inlineStr">
        <is>
          <t>2Q27</t>
        </is>
      </c>
      <c r="W1" s="2" t="inlineStr">
        <is>
          <t>3Q27</t>
        </is>
      </c>
      <c r="X1" s="2" t="inlineStr">
        <is>
          <t>4Q27</t>
        </is>
      </c>
      <c r="Y1" s="2" t="inlineStr">
        <is>
          <t>FY26</t>
        </is>
      </c>
      <c r="Z1" s="2" t="inlineStr">
        <is>
          <t>FY27</t>
        </is>
      </c>
      <c r="AA1" s="2" t="inlineStr">
        <is>
          <t>ALL</t>
        </is>
      </c>
    </row>
    <row r="2">
      <c r="A2" t="inlineStr">
        <is>
          <t>MULT</t>
        </is>
      </c>
      <c r="B2" t="inlineStr">
        <is>
          <t>Exit EV / adj. EBITDA multiple (x)</t>
        </is>
      </c>
      <c r="C2" t="inlineStr">
        <is>
          <t>x</t>
        </is>
      </c>
      <c r="D2" t="inlineStr">
        <is>
          <t>B · DEC-0014</t>
        </is>
      </c>
      <c r="Z2" s="10">
        <f>INDEX('Scenario Data'!$E$208:$G$208,MATCH(Scenario,'Scenario Data'!$E$1:$G$1,0))</f>
        <v/>
      </c>
    </row>
    <row r="3">
      <c r="A3" t="inlineStr">
        <is>
          <t>SLOPE</t>
        </is>
      </c>
      <c r="B3" t="inlineStr">
        <is>
          <t>Exit multiple slope (turns per pp of growth)</t>
        </is>
      </c>
      <c r="C3" t="inlineStr">
        <is>
          <t>x</t>
        </is>
      </c>
      <c r="D3" t="inlineStr">
        <is>
          <t>B · DEC-0015</t>
        </is>
      </c>
      <c r="AA3" s="10">
        <f>INDEX('Scenario Data'!$E$209:$G$209,MATCH(Scenario,'Scenario Data'!$E$1:$G$1,0))</f>
        <v/>
      </c>
    </row>
    <row r="4">
      <c r="A4" t="inlineStr">
        <is>
          <t>SPOT</t>
        </is>
      </c>
      <c r="B4" t="inlineStr">
        <is>
          <t>Spot price ($)</t>
        </is>
      </c>
      <c r="C4" t="inlineStr">
        <is>
          <t>usd</t>
        </is>
      </c>
      <c r="D4" t="inlineStr">
        <is>
          <t>B · DEC-0015</t>
        </is>
      </c>
      <c r="AA4" s="5">
        <f>INDEX('Scenario Data'!$E$210:$G$210,MATCH(Scenario,'Scenario Data'!$E$1:$G$1,0))</f>
        <v/>
      </c>
    </row>
    <row r="5">
      <c r="A5" t="inlineStr">
        <is>
          <t>NETCASH</t>
        </is>
      </c>
      <c r="B5" t="inlineStr">
        <is>
          <t>Net cash ex client-held float ($M)</t>
        </is>
      </c>
      <c r="C5" t="inlineStr">
        <is>
          <t>musd</t>
        </is>
      </c>
      <c r="D5" t="inlineStr">
        <is>
          <t>B · DEC-0015</t>
        </is>
      </c>
      <c r="AA5" s="7">
        <f>INDEX('Scenario Data'!$E$211:$G$211,MATCH(Scenario,'Scenario Data'!$E$1:$G$1,0))</f>
        <v/>
      </c>
    </row>
    <row r="6">
      <c r="A6" t="inlineStr">
        <is>
          <t>SHARES_DIL</t>
        </is>
      </c>
      <c r="B6" t="inlineStr">
        <is>
          <t>Diluted shares, valuation basis (m)</t>
        </is>
      </c>
      <c r="C6" t="inlineStr">
        <is>
          <t>m</t>
        </is>
      </c>
      <c r="D6" t="inlineStr">
        <is>
          <t>B · DEC-0015</t>
        </is>
      </c>
      <c r="AA6" s="4">
        <f>INDEX('Scenario Data'!$E$212:$G$212,MATCH(Scenario,'Scenario Data'!$E$1:$G$1,0))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8" customWidth="1" min="4" max="4"/>
  </cols>
  <sheetData>
    <row r="1">
      <c r="A1" s="2" t="inlineStr">
        <is>
          <t>id</t>
        </is>
      </c>
      <c r="B1" s="2" t="inlineStr">
        <is>
          <t>line</t>
        </is>
      </c>
      <c r="C1" s="2" t="inlineStr">
        <is>
          <t>unit</t>
        </is>
      </c>
      <c r="D1" s="2" t="inlineStr">
        <is>
          <t>grade · decision</t>
        </is>
      </c>
      <c r="E1" s="2" t="inlineStr">
        <is>
          <t>1Q23</t>
        </is>
      </c>
      <c r="F1" s="2" t="inlineStr">
        <is>
          <t>2Q23</t>
        </is>
      </c>
      <c r="G1" s="2" t="inlineStr">
        <is>
          <t>3Q23</t>
        </is>
      </c>
      <c r="H1" s="2" t="inlineStr">
        <is>
          <t>4Q23</t>
        </is>
      </c>
      <c r="I1" s="2" t="inlineStr">
        <is>
          <t>1Q24</t>
        </is>
      </c>
      <c r="J1" s="2" t="inlineStr">
        <is>
          <t>2Q24</t>
        </is>
      </c>
      <c r="K1" s="2" t="inlineStr">
        <is>
          <t>3Q24</t>
        </is>
      </c>
      <c r="L1" s="2" t="inlineStr">
        <is>
          <t>4Q24</t>
        </is>
      </c>
      <c r="M1" s="2" t="inlineStr">
        <is>
          <t>1Q25</t>
        </is>
      </c>
      <c r="N1" s="2" t="inlineStr">
        <is>
          <t>2Q25</t>
        </is>
      </c>
      <c r="O1" s="2" t="inlineStr">
        <is>
          <t>3Q25</t>
        </is>
      </c>
      <c r="P1" s="2" t="inlineStr">
        <is>
          <t>4Q25</t>
        </is>
      </c>
      <c r="Q1" s="2" t="inlineStr">
        <is>
          <t>1Q26</t>
        </is>
      </c>
      <c r="R1" s="2" t="inlineStr">
        <is>
          <t>2Q26</t>
        </is>
      </c>
      <c r="S1" s="2" t="inlineStr">
        <is>
          <t>3Q26</t>
        </is>
      </c>
      <c r="T1" s="2" t="inlineStr">
        <is>
          <t>4Q26</t>
        </is>
      </c>
      <c r="U1" s="2" t="inlineStr">
        <is>
          <t>1Q27</t>
        </is>
      </c>
      <c r="V1" s="2" t="inlineStr">
        <is>
          <t>2Q27</t>
        </is>
      </c>
      <c r="W1" s="2" t="inlineStr">
        <is>
          <t>3Q27</t>
        </is>
      </c>
      <c r="X1" s="2" t="inlineStr">
        <is>
          <t>4Q27</t>
        </is>
      </c>
      <c r="Y1" s="2" t="inlineStr">
        <is>
          <t>FY26</t>
        </is>
      </c>
      <c r="Z1" s="2" t="inlineStr">
        <is>
          <t>FY27</t>
        </is>
      </c>
      <c r="AA1" s="2" t="inlineStr">
        <is>
          <t>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2" max="2"/>
    <col width="18" customWidth="1" min="4" max="4"/>
  </cols>
  <sheetData>
    <row r="1">
      <c r="A1" s="2" t="inlineStr">
        <is>
          <t>id</t>
        </is>
      </c>
      <c r="B1" s="2" t="inlineStr">
        <is>
          <t>line</t>
        </is>
      </c>
      <c r="C1" s="2" t="inlineStr">
        <is>
          <t>unit</t>
        </is>
      </c>
      <c r="D1" s="2" t="inlineStr">
        <is>
          <t>grade · decision</t>
        </is>
      </c>
      <c r="E1" s="2" t="inlineStr">
        <is>
          <t>1Q23</t>
        </is>
      </c>
      <c r="F1" s="2" t="inlineStr">
        <is>
          <t>2Q23</t>
        </is>
      </c>
      <c r="G1" s="2" t="inlineStr">
        <is>
          <t>3Q23</t>
        </is>
      </c>
      <c r="H1" s="2" t="inlineStr">
        <is>
          <t>4Q23</t>
        </is>
      </c>
      <c r="I1" s="2" t="inlineStr">
        <is>
          <t>1Q24</t>
        </is>
      </c>
      <c r="J1" s="2" t="inlineStr">
        <is>
          <t>2Q24</t>
        </is>
      </c>
      <c r="K1" s="2" t="inlineStr">
        <is>
          <t>3Q24</t>
        </is>
      </c>
      <c r="L1" s="2" t="inlineStr">
        <is>
          <t>4Q24</t>
        </is>
      </c>
      <c r="M1" s="2" t="inlineStr">
        <is>
          <t>1Q25</t>
        </is>
      </c>
      <c r="N1" s="2" t="inlineStr">
        <is>
          <t>2Q25</t>
        </is>
      </c>
      <c r="O1" s="2" t="inlineStr">
        <is>
          <t>3Q25</t>
        </is>
      </c>
      <c r="P1" s="2" t="inlineStr">
        <is>
          <t>4Q25</t>
        </is>
      </c>
      <c r="Q1" s="2" t="inlineStr">
        <is>
          <t>1Q26</t>
        </is>
      </c>
      <c r="R1" s="2" t="inlineStr">
        <is>
          <t>2Q26</t>
        </is>
      </c>
      <c r="S1" s="2" t="inlineStr">
        <is>
          <t>3Q26</t>
        </is>
      </c>
      <c r="T1" s="2" t="inlineStr">
        <is>
          <t>4Q26</t>
        </is>
      </c>
      <c r="U1" s="2" t="inlineStr">
        <is>
          <t>1Q27</t>
        </is>
      </c>
      <c r="V1" s="2" t="inlineStr">
        <is>
          <t>2Q27</t>
        </is>
      </c>
      <c r="W1" s="2" t="inlineStr">
        <is>
          <t>3Q27</t>
        </is>
      </c>
      <c r="X1" s="2" t="inlineStr">
        <is>
          <t>4Q27</t>
        </is>
      </c>
      <c r="Y1" s="2" t="inlineStr">
        <is>
          <t>FY26</t>
        </is>
      </c>
      <c r="Z1" s="2" t="inlineStr">
        <is>
          <t>FY27</t>
        </is>
      </c>
      <c r="AA1" s="2" t="inlineStr">
        <is>
          <t>ALL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line</t>
        </is>
      </c>
      <c r="C1" s="2" t="inlineStr">
        <is>
          <t>kind</t>
        </is>
      </c>
      <c r="D1" s="2" t="inlineStr">
        <is>
          <t>periods</t>
        </is>
      </c>
      <c r="E1" s="2" t="inlineStr">
        <is>
          <t>grade</t>
        </is>
      </c>
      <c r="F1" s="2" t="inlineStr">
        <is>
          <t>decision</t>
        </is>
      </c>
      <c r="G1" s="2" t="inlineStr">
        <is>
          <t>tolerance</t>
        </is>
      </c>
      <c r="H1" s="2" t="inlineStr">
        <is>
          <t>dossier</t>
        </is>
      </c>
      <c r="I1" s="2" t="inlineStr">
        <is>
          <t>receipt</t>
        </is>
      </c>
      <c r="J1" s="2" t="inlineStr">
        <is>
          <t>expr</t>
        </is>
      </c>
    </row>
    <row r="2">
      <c r="A2" t="inlineStr">
        <is>
          <t>NIGHTS</t>
        </is>
      </c>
      <c r="B2" t="inlineStr">
        <is>
          <t>Nights booked (m)</t>
        </is>
      </c>
      <c r="C2" t="inlineStr">
        <is>
          <t>input</t>
        </is>
      </c>
      <c r="D2" t="inlineStr">
        <is>
          <t>1Q23–2Q26</t>
        </is>
      </c>
      <c r="E2" t="inlineStr">
        <is>
          <t>B</t>
        </is>
      </c>
      <c r="F2" t="inlineStr">
        <is>
          <t>DEC-0003</t>
        </is>
      </c>
      <c r="G2" t="n">
        <v>0.1</v>
      </c>
      <c r="H2" t="inlineStr">
        <is>
          <t>docs/pitch-model-v2/dossiers/H0_h0_history.md</t>
        </is>
      </c>
      <c r="I2" t="inlineStr">
        <is>
          <t>data/processed/pitch_model_v2/receipts/H0/receipt.json</t>
        </is>
      </c>
      <c r="J2" t="inlineStr"/>
    </row>
    <row r="3">
      <c r="A3" t="inlineStr">
        <is>
          <t>NIGHTS</t>
        </is>
      </c>
      <c r="B3" t="inlineStr">
        <is>
          <t>Nights booked (m)</t>
        </is>
      </c>
      <c r="C3" t="inlineStr">
        <is>
          <t>input</t>
        </is>
      </c>
      <c r="D3" t="inlineStr">
        <is>
          <t>3Q26–3Q26</t>
        </is>
      </c>
      <c r="E3" t="inlineStr">
        <is>
          <t>B</t>
        </is>
      </c>
      <c r="F3" t="inlineStr">
        <is>
          <t>DEC-0004</t>
        </is>
      </c>
      <c r="G3" t="n">
        <v>0.1</v>
      </c>
      <c r="H3" t="inlineStr">
        <is>
          <t>docs/pitch-model-v2/dossiers/D1_d1_nights_3q26.md</t>
        </is>
      </c>
      <c r="I3" t="inlineStr">
        <is>
          <t>data/processed/pitch_model_v2/receipts/D1/receipt.json</t>
        </is>
      </c>
      <c r="J3" t="inlineStr"/>
    </row>
    <row r="4">
      <c r="A4" t="inlineStr">
        <is>
          <t>ADR</t>
        </is>
      </c>
      <c r="B4" t="inlineStr">
        <is>
          <t>ADR ($)</t>
        </is>
      </c>
      <c r="C4" t="inlineStr">
        <is>
          <t>input</t>
        </is>
      </c>
      <c r="D4" t="inlineStr">
        <is>
          <t>1Q23–2Q26</t>
        </is>
      </c>
      <c r="E4" t="inlineStr">
        <is>
          <t>B</t>
        </is>
      </c>
      <c r="F4" t="inlineStr">
        <is>
          <t>DEC-0003</t>
        </is>
      </c>
      <c r="G4" t="n">
        <v>0.01</v>
      </c>
      <c r="H4" t="inlineStr">
        <is>
          <t>docs/pitch-model-v2/dossiers/H0_h0_history.md</t>
        </is>
      </c>
      <c r="I4" t="inlineStr">
        <is>
          <t>data/processed/pitch_model_v2/receipts/H0/receipt.json</t>
        </is>
      </c>
      <c r="J4" t="inlineStr"/>
    </row>
    <row r="5">
      <c r="A5" t="inlineStr">
        <is>
          <t>ADR</t>
        </is>
      </c>
      <c r="B5" t="inlineStr">
        <is>
          <t>ADR ($)</t>
        </is>
      </c>
      <c r="C5" t="inlineStr">
        <is>
          <t>input</t>
        </is>
      </c>
      <c r="D5" t="inlineStr">
        <is>
          <t>3Q26–4Q26</t>
        </is>
      </c>
      <c r="E5" t="inlineStr">
        <is>
          <t>B</t>
        </is>
      </c>
      <c r="F5" t="inlineStr">
        <is>
          <t>DEC-0008</t>
        </is>
      </c>
      <c r="G5" t="n">
        <v>0.01</v>
      </c>
      <c r="H5" t="inlineStr">
        <is>
          <t>docs/pitch-model-v2/dossiers/D4_d4_adr.md</t>
        </is>
      </c>
      <c r="I5" t="inlineStr">
        <is>
          <t>data/processed/pitch_model_v2/receipts/D4/receipt.json</t>
        </is>
      </c>
      <c r="J5" t="inlineStr"/>
    </row>
    <row r="6">
      <c r="A6" t="inlineStr">
        <is>
          <t>GBV</t>
        </is>
      </c>
      <c r="B6" t="inlineStr">
        <is>
          <t>GBV ($M)</t>
        </is>
      </c>
      <c r="C6" t="inlineStr">
        <is>
          <t>formula</t>
        </is>
      </c>
      <c r="D6" t="inlineStr">
        <is>
          <t>1Q23–3Q26</t>
        </is>
      </c>
      <c r="E6" t="inlineStr"/>
      <c r="F6" t="inlineStr"/>
      <c r="G6" t="inlineStr"/>
      <c r="H6" t="inlineStr"/>
      <c r="I6" t="inlineStr"/>
      <c r="J6" t="inlineStr">
        <is>
          <t>NIGHTS * ADR</t>
        </is>
      </c>
    </row>
    <row r="7">
      <c r="A7" t="inlineStr">
        <is>
          <t>FX_REV</t>
        </is>
      </c>
      <c r="B7" t="inlineStr">
        <is>
          <t>Revenue FX contribution (pp y/y)</t>
        </is>
      </c>
      <c r="C7" t="inlineStr">
        <is>
          <t>input</t>
        </is>
      </c>
      <c r="D7" t="inlineStr">
        <is>
          <t>3Q26–2Q27</t>
        </is>
      </c>
      <c r="E7" t="inlineStr">
        <is>
          <t>B</t>
        </is>
      </c>
      <c r="F7" t="inlineStr">
        <is>
          <t>DEC-0010</t>
        </is>
      </c>
      <c r="G7" t="n">
        <v>0.01</v>
      </c>
      <c r="H7" t="inlineStr">
        <is>
          <t>docs/pitch-model-v2/dossiers/D5_d5_fx.md</t>
        </is>
      </c>
      <c r="I7" t="inlineStr">
        <is>
          <t>data/processed/pitch_model_v2/receipts/D5/receipt.json</t>
        </is>
      </c>
      <c r="J7" t="inlineStr"/>
    </row>
    <row r="8">
      <c r="A8" t="inlineStr">
        <is>
          <t>FX_ADR</t>
        </is>
      </c>
      <c r="B8" t="inlineStr">
        <is>
          <t>ADR FX contribution (pp y/y)</t>
        </is>
      </c>
      <c r="C8" t="inlineStr">
        <is>
          <t>input</t>
        </is>
      </c>
      <c r="D8" t="inlineStr">
        <is>
          <t>3Q26–2Q27</t>
        </is>
      </c>
      <c r="E8" t="inlineStr">
        <is>
          <t>B</t>
        </is>
      </c>
      <c r="F8" t="inlineStr">
        <is>
          <t>DEC-0010</t>
        </is>
      </c>
      <c r="G8" t="n">
        <v>0.01</v>
      </c>
      <c r="H8" t="inlineStr">
        <is>
          <t>docs/pitch-model-v2/dossiers/D5_d5_fx.md</t>
        </is>
      </c>
      <c r="I8" t="inlineStr">
        <is>
          <t>data/processed/pitch_model_v2/receipts/D5/receipt.json</t>
        </is>
      </c>
      <c r="J8" t="inlineStr"/>
    </row>
    <row r="9">
      <c r="A9" t="inlineStr">
        <is>
          <t>STREET_NIGHTS</t>
        </is>
      </c>
      <c r="B9" t="inlineStr">
        <is>
          <t>Street nights (m)</t>
        </is>
      </c>
      <c r="C9" t="inlineStr">
        <is>
          <t>input</t>
        </is>
      </c>
      <c r="D9" t="inlineStr">
        <is>
          <t>3Q26–4Q26</t>
        </is>
      </c>
      <c r="E9" t="inlineStr">
        <is>
          <t>B</t>
        </is>
      </c>
      <c r="F9" t="inlineStr">
        <is>
          <t>DEC-0013</t>
        </is>
      </c>
      <c r="G9" t="n">
        <v>0.1</v>
      </c>
      <c r="H9" t="inlineStr">
        <is>
          <t>docs/pitch-model-v2/dossiers/V1_v1_street.md</t>
        </is>
      </c>
      <c r="I9" t="inlineStr">
        <is>
          <t>data/processed/pitch_model_v2/receipts/V1/receipt_l0_pytest.json</t>
        </is>
      </c>
      <c r="J9" t="inlineStr"/>
    </row>
    <row r="10">
      <c r="A10" t="inlineStr">
        <is>
          <t>STREET_ADR</t>
        </is>
      </c>
      <c r="B10" t="inlineStr">
        <is>
          <t>Street ADR ($)</t>
        </is>
      </c>
      <c r="C10" t="inlineStr">
        <is>
          <t>input</t>
        </is>
      </c>
      <c r="D10" t="inlineStr">
        <is>
          <t>3Q26–3Q26</t>
        </is>
      </c>
      <c r="E10" t="inlineStr">
        <is>
          <t>B</t>
        </is>
      </c>
      <c r="F10" t="inlineStr">
        <is>
          <t>DEC-0013</t>
        </is>
      </c>
      <c r="G10" t="n">
        <v>0.01</v>
      </c>
      <c r="H10" t="inlineStr">
        <is>
          <t>docs/pitch-model-v2/dossiers/V1_v1_street.md</t>
        </is>
      </c>
      <c r="I10" t="inlineStr">
        <is>
          <t>data/processed/pitch_model_v2/receipts/V1/receipt_l0_pytest.json</t>
        </is>
      </c>
      <c r="J10" t="inlineStr"/>
    </row>
    <row r="11">
      <c r="A11" t="inlineStr">
        <is>
          <t>REV</t>
        </is>
      </c>
      <c r="B11" t="inlineStr">
        <is>
          <t>Revenue ($M)</t>
        </is>
      </c>
      <c r="C11" t="inlineStr">
        <is>
          <t>input</t>
        </is>
      </c>
      <c r="D11" t="inlineStr">
        <is>
          <t>1Q23–2Q26</t>
        </is>
      </c>
      <c r="E11" t="inlineStr">
        <is>
          <t>B</t>
        </is>
      </c>
      <c r="F11" t="inlineStr">
        <is>
          <t>DEC-0003</t>
        </is>
      </c>
      <c r="G11" t="n">
        <v>0.5</v>
      </c>
      <c r="H11" t="inlineStr">
        <is>
          <t>docs/pitch-model-v2/dossiers/H0_h0_history.md</t>
        </is>
      </c>
      <c r="I11" t="inlineStr">
        <is>
          <t>data/processed/pitch_model_v2/receipts/H0/receipt.json</t>
        </is>
      </c>
      <c r="J11" t="inlineStr"/>
    </row>
    <row r="12">
      <c r="A12" t="inlineStr">
        <is>
          <t>TAKE</t>
        </is>
      </c>
      <c r="B12" t="inlineStr">
        <is>
          <t>Take rate (%)</t>
        </is>
      </c>
      <c r="C12" t="inlineStr">
        <is>
          <t>formula</t>
        </is>
      </c>
      <c r="D12" t="inlineStr">
        <is>
          <t>1Q23–2Q26</t>
        </is>
      </c>
      <c r="E12" t="inlineStr"/>
      <c r="F12" t="inlineStr"/>
      <c r="G12" t="inlineStr"/>
      <c r="H12" t="inlineStr"/>
      <c r="I12" t="inlineStr"/>
      <c r="J12" t="inlineStr">
        <is>
          <t>REV / GBV * 100</t>
        </is>
      </c>
    </row>
    <row r="13">
      <c r="A13" t="inlineStr">
        <is>
          <t>LAM_Q1</t>
        </is>
      </c>
      <c r="B13" t="inlineStr">
        <is>
          <t>Kernel lambda, Q1 season (%)</t>
        </is>
      </c>
      <c r="C13" t="inlineStr">
        <is>
          <t>input</t>
        </is>
      </c>
      <c r="D13" t="inlineStr">
        <is>
          <t>ALL–ALL</t>
        </is>
      </c>
      <c r="E13" t="inlineStr">
        <is>
          <t>B</t>
        </is>
      </c>
      <c r="F13" t="inlineStr">
        <is>
          <t>DEC-0006</t>
        </is>
      </c>
      <c r="G13" t="n">
        <v>0.01</v>
      </c>
      <c r="H13" t="inlineStr">
        <is>
          <t>docs/pitch-model-v2/dossiers/R1_r1_kernel.md</t>
        </is>
      </c>
      <c r="I13" t="inlineStr">
        <is>
          <t>data/processed/pitch_model_v2/receipts/R1/receipt.json</t>
        </is>
      </c>
      <c r="J13" t="inlineStr"/>
    </row>
    <row r="14">
      <c r="A14" t="inlineStr">
        <is>
          <t>LAM_Q2</t>
        </is>
      </c>
      <c r="B14" t="inlineStr">
        <is>
          <t>Kernel lambda, Q2 season (%)</t>
        </is>
      </c>
      <c r="C14" t="inlineStr">
        <is>
          <t>input</t>
        </is>
      </c>
      <c r="D14" t="inlineStr">
        <is>
          <t>ALL–ALL</t>
        </is>
      </c>
      <c r="E14" t="inlineStr">
        <is>
          <t>B</t>
        </is>
      </c>
      <c r="F14" t="inlineStr">
        <is>
          <t>DEC-0006</t>
        </is>
      </c>
      <c r="G14" t="n">
        <v>0.01</v>
      </c>
      <c r="H14" t="inlineStr">
        <is>
          <t>docs/pitch-model-v2/dossiers/R1_r1_kernel.md</t>
        </is>
      </c>
      <c r="I14" t="inlineStr">
        <is>
          <t>data/processed/pitch_model_v2/receipts/R1/receipt.json</t>
        </is>
      </c>
      <c r="J14" t="inlineStr"/>
    </row>
    <row r="15">
      <c r="A15" t="inlineStr">
        <is>
          <t>LAM_Q3</t>
        </is>
      </c>
      <c r="B15" t="inlineStr">
        <is>
          <t>Kernel lambda, Q3 season (%)</t>
        </is>
      </c>
      <c r="C15" t="inlineStr">
        <is>
          <t>input</t>
        </is>
      </c>
      <c r="D15" t="inlineStr">
        <is>
          <t>ALL–ALL</t>
        </is>
      </c>
      <c r="E15" t="inlineStr">
        <is>
          <t>B</t>
        </is>
      </c>
      <c r="F15" t="inlineStr">
        <is>
          <t>DEC-0006</t>
        </is>
      </c>
      <c r="G15" t="n">
        <v>0.01</v>
      </c>
      <c r="H15" t="inlineStr">
        <is>
          <t>docs/pitch-model-v2/dossiers/R1_r1_kernel.md</t>
        </is>
      </c>
      <c r="I15" t="inlineStr">
        <is>
          <t>data/processed/pitch_model_v2/receipts/R1/receipt.json</t>
        </is>
      </c>
      <c r="J15" t="inlineStr"/>
    </row>
    <row r="16">
      <c r="A16" t="inlineStr">
        <is>
          <t>LAM_Q4</t>
        </is>
      </c>
      <c r="B16" t="inlineStr">
        <is>
          <t>Kernel lambda, Q4 season (%)</t>
        </is>
      </c>
      <c r="C16" t="inlineStr">
        <is>
          <t>input</t>
        </is>
      </c>
      <c r="D16" t="inlineStr">
        <is>
          <t>ALL–ALL</t>
        </is>
      </c>
      <c r="E16" t="inlineStr">
        <is>
          <t>B</t>
        </is>
      </c>
      <c r="F16" t="inlineStr">
        <is>
          <t>DEC-0006</t>
        </is>
      </c>
      <c r="G16" t="n">
        <v>0.01</v>
      </c>
      <c r="H16" t="inlineStr">
        <is>
          <t>docs/pitch-model-v2/dossiers/R1_r1_kernel.md</t>
        </is>
      </c>
      <c r="I16" t="inlineStr">
        <is>
          <t>data/processed/pitch_model_v2/receipts/R1/receipt.json</t>
        </is>
      </c>
      <c r="J16" t="inlineStr"/>
    </row>
    <row r="17">
      <c r="A17" t="inlineStr">
        <is>
          <t>W1</t>
        </is>
      </c>
      <c r="B17" t="inlineStr">
        <is>
          <t>Kernel weight, GBV[q-1]</t>
        </is>
      </c>
      <c r="C17" t="inlineStr">
        <is>
          <t>input</t>
        </is>
      </c>
      <c r="D17" t="inlineStr">
        <is>
          <t>ALL–ALL</t>
        </is>
      </c>
      <c r="E17" t="inlineStr">
        <is>
          <t>B</t>
        </is>
      </c>
      <c r="F17" t="inlineStr">
        <is>
          <t>DEC-0006</t>
        </is>
      </c>
      <c r="G17" t="n">
        <v>0.001</v>
      </c>
      <c r="H17" t="inlineStr">
        <is>
          <t>docs/pitch-model-v2/dossiers/R1_r1_kernel.md</t>
        </is>
      </c>
      <c r="I17" t="inlineStr">
        <is>
          <t>data/processed/pitch_model_v2/receipts/R1/receipt.json</t>
        </is>
      </c>
      <c r="J17" t="inlineStr"/>
    </row>
    <row r="18">
      <c r="A18" t="inlineStr">
        <is>
          <t>W2</t>
        </is>
      </c>
      <c r="B18" t="inlineStr">
        <is>
          <t>Kernel weight, GBV[q-2]</t>
        </is>
      </c>
      <c r="C18" t="inlineStr">
        <is>
          <t>input</t>
        </is>
      </c>
      <c r="D18" t="inlineStr">
        <is>
          <t>ALL–ALL</t>
        </is>
      </c>
      <c r="E18" t="inlineStr">
        <is>
          <t>B</t>
        </is>
      </c>
      <c r="F18" t="inlineStr">
        <is>
          <t>DEC-0006</t>
        </is>
      </c>
      <c r="G18" t="n">
        <v>0.001</v>
      </c>
      <c r="H18" t="inlineStr">
        <is>
          <t>docs/pitch-model-v2/dossiers/R1_r1_kernel.md</t>
        </is>
      </c>
      <c r="I18" t="inlineStr">
        <is>
          <t>data/processed/pitch_model_v2/receipts/R1/receipt.json</t>
        </is>
      </c>
      <c r="J18" t="inlineStr"/>
    </row>
    <row r="19">
      <c r="A19" t="inlineStr">
        <is>
          <t>JW0</t>
        </is>
      </c>
      <c r="B19" t="inlineStr">
        <is>
          <t>Joint-rule weight, GBV[t] (sensitivity only)</t>
        </is>
      </c>
      <c r="C19" t="inlineStr">
        <is>
          <t>input</t>
        </is>
      </c>
      <c r="D19" t="inlineStr">
        <is>
          <t>ALL–ALL</t>
        </is>
      </c>
      <c r="E19" t="inlineStr">
        <is>
          <t>B</t>
        </is>
      </c>
      <c r="F19" t="inlineStr">
        <is>
          <t>DEC-0006</t>
        </is>
      </c>
      <c r="G19" t="n">
        <v>0.001</v>
      </c>
      <c r="H19" t="inlineStr">
        <is>
          <t>docs/pitch-model-v2/dossiers/R1_r1_kernel.md</t>
        </is>
      </c>
      <c r="I19" t="inlineStr">
        <is>
          <t>data/processed/pitch_model_v2/receipts/R1/receipt.json</t>
        </is>
      </c>
      <c r="J19" t="inlineStr"/>
    </row>
    <row r="20">
      <c r="A20" t="inlineStr">
        <is>
          <t>JW1</t>
        </is>
      </c>
      <c r="B20" t="inlineStr">
        <is>
          <t>Joint-rule weight, GBV[t-1] (sensitivity only)</t>
        </is>
      </c>
      <c r="C20" t="inlineStr">
        <is>
          <t>input</t>
        </is>
      </c>
      <c r="D20" t="inlineStr">
        <is>
          <t>ALL–ALL</t>
        </is>
      </c>
      <c r="E20" t="inlineStr">
        <is>
          <t>B</t>
        </is>
      </c>
      <c r="F20" t="inlineStr">
        <is>
          <t>DEC-0006</t>
        </is>
      </c>
      <c r="G20" t="n">
        <v>0.001</v>
      </c>
      <c r="H20" t="inlineStr">
        <is>
          <t>docs/pitch-model-v2/dossiers/R1_r1_kernel.md</t>
        </is>
      </c>
      <c r="I20" t="inlineStr">
        <is>
          <t>data/processed/pitch_model_v2/receipts/R1/receipt.json</t>
        </is>
      </c>
      <c r="J20" t="inlineStr"/>
    </row>
    <row r="21">
      <c r="A21" t="inlineStr">
        <is>
          <t>JW2</t>
        </is>
      </c>
      <c r="B21" t="inlineStr">
        <is>
          <t>Joint-rule weight, GBV[t-2] (sensitivity only)</t>
        </is>
      </c>
      <c r="C21" t="inlineStr">
        <is>
          <t>input</t>
        </is>
      </c>
      <c r="D21" t="inlineStr">
        <is>
          <t>ALL–ALL</t>
        </is>
      </c>
      <c r="E21" t="inlineStr">
        <is>
          <t>B</t>
        </is>
      </c>
      <c r="F21" t="inlineStr">
        <is>
          <t>DEC-0006</t>
        </is>
      </c>
      <c r="G21" t="n">
        <v>0.001</v>
      </c>
      <c r="H21" t="inlineStr">
        <is>
          <t>docs/pitch-model-v2/dossiers/R1_r1_kernel.md</t>
        </is>
      </c>
      <c r="I21" t="inlineStr">
        <is>
          <t>data/processed/pitch_model_v2/receipts/R1/receipt.json</t>
        </is>
      </c>
      <c r="J21" t="inlineStr"/>
    </row>
    <row r="22">
      <c r="A22" t="inlineStr">
        <is>
          <t>JW3</t>
        </is>
      </c>
      <c r="B22" t="inlineStr">
        <is>
          <t>Joint-rule weight, mean(GBV[t-3],GBV[t-4]) (sensitivity only)</t>
        </is>
      </c>
      <c r="C22" t="inlineStr">
        <is>
          <t>input</t>
        </is>
      </c>
      <c r="D22" t="inlineStr">
        <is>
          <t>ALL–ALL</t>
        </is>
      </c>
      <c r="E22" t="inlineStr">
        <is>
          <t>B</t>
        </is>
      </c>
      <c r="F22" t="inlineStr">
        <is>
          <t>DEC-0006</t>
        </is>
      </c>
      <c r="G22" t="n">
        <v>0.001</v>
      </c>
      <c r="H22" t="inlineStr">
        <is>
          <t>docs/pitch-model-v2/dossiers/R1_r1_kernel.md</t>
        </is>
      </c>
      <c r="I22" t="inlineStr">
        <is>
          <t>data/processed/pitch_model_v2/receipts/R1/receipt.json</t>
        </is>
      </c>
      <c r="J22" t="inlineStr"/>
    </row>
    <row r="23">
      <c r="A23" t="inlineStr">
        <is>
          <t>REV_KERNEL</t>
        </is>
      </c>
      <c r="B23" t="inlineStr">
        <is>
          <t>Revenue, kernel ($M)</t>
        </is>
      </c>
      <c r="C23" t="inlineStr">
        <is>
          <t>formula</t>
        </is>
      </c>
      <c r="D23" t="inlineStr">
        <is>
          <t>3Q26–3Q26</t>
        </is>
      </c>
      <c r="E23" t="inlineStr"/>
      <c r="F23" t="inlineStr"/>
      <c r="G23" t="inlineStr"/>
      <c r="H23" t="inlineStr"/>
      <c r="I23" t="inlineStr"/>
      <c r="J23" t="inlineStr">
        <is>
          <t>LAM_Q3@ALL / 100 * (W1@ALL * GBV[-1] + W2@ALL * GBV[-2])</t>
        </is>
      </c>
    </row>
    <row r="24">
      <c r="A24" t="inlineStr">
        <is>
          <t>CUSH</t>
        </is>
      </c>
      <c r="B24" t="inlineStr">
        <is>
          <t>Guide cushion, trailing-8 mean (pp)</t>
        </is>
      </c>
      <c r="C24" t="inlineStr">
        <is>
          <t>input</t>
        </is>
      </c>
      <c r="D24" t="inlineStr">
        <is>
          <t>ALL–ALL</t>
        </is>
      </c>
      <c r="E24" t="inlineStr">
        <is>
          <t>A</t>
        </is>
      </c>
      <c r="F24" t="inlineStr">
        <is>
          <t>DEC-0001</t>
        </is>
      </c>
      <c r="G24" t="n">
        <v>0.01</v>
      </c>
      <c r="H24" t="inlineStr">
        <is>
          <t>docs/pitch-model-v2/dossiers/R3_r3_cushion.md</t>
        </is>
      </c>
      <c r="I24" t="inlineStr">
        <is>
          <t>data/processed/pitch_model_v2/receipts/R3/receipt.json</t>
        </is>
      </c>
      <c r="J24" t="inlineStr"/>
    </row>
    <row r="25">
      <c r="A25" t="inlineStr">
        <is>
          <t>STREET_REV</t>
        </is>
      </c>
      <c r="B25" t="inlineStr">
        <is>
          <t>Street revenue ($M)</t>
        </is>
      </c>
      <c r="C25" t="inlineStr">
        <is>
          <t>input</t>
        </is>
      </c>
      <c r="D25" t="inlineStr">
        <is>
          <t>3Q26–FY27</t>
        </is>
      </c>
      <c r="E25" t="inlineStr">
        <is>
          <t>B</t>
        </is>
      </c>
      <c r="F25" t="inlineStr">
        <is>
          <t>DEC-0013</t>
        </is>
      </c>
      <c r="G25" t="n">
        <v>0.5</v>
      </c>
      <c r="H25" t="inlineStr">
        <is>
          <t>docs/pitch-model-v2/dossiers/V1_v1_street.md</t>
        </is>
      </c>
      <c r="I25" t="inlineStr">
        <is>
          <t>data/processed/pitch_model_v2/receipts/V1/receipt_l0_pytest.json</t>
        </is>
      </c>
      <c r="J25" t="inlineStr"/>
    </row>
    <row r="26">
      <c r="A26" t="inlineStr">
        <is>
          <t>COR</t>
        </is>
      </c>
      <c r="B26" t="inlineStr">
        <is>
          <t>Cost of revenue, cash ($M)</t>
        </is>
      </c>
      <c r="C26" t="inlineStr">
        <is>
          <t>input</t>
        </is>
      </c>
      <c r="D26" t="inlineStr">
        <is>
          <t>1Q23–2Q26</t>
        </is>
      </c>
      <c r="E26" t="inlineStr">
        <is>
          <t>B</t>
        </is>
      </c>
      <c r="F26" t="inlineStr">
        <is>
          <t>DEC-0003</t>
        </is>
      </c>
      <c r="G26" t="n">
        <v>0.5</v>
      </c>
      <c r="H26" t="inlineStr">
        <is>
          <t>docs/pitch-model-v2/dossiers/H0_h0_history.md</t>
        </is>
      </c>
      <c r="I26" t="inlineStr">
        <is>
          <t>data/processed/pitch_model_v2/receipts/H0/receipt.json</t>
        </is>
      </c>
      <c r="J26" t="inlineStr"/>
    </row>
    <row r="27">
      <c r="A27" t="inlineStr">
        <is>
          <t>OPS</t>
        </is>
      </c>
      <c r="B27" t="inlineStr">
        <is>
          <t>Operations &amp; support, cash ($M)</t>
        </is>
      </c>
      <c r="C27" t="inlineStr">
        <is>
          <t>input</t>
        </is>
      </c>
      <c r="D27" t="inlineStr">
        <is>
          <t>1Q23–2Q26</t>
        </is>
      </c>
      <c r="E27" t="inlineStr">
        <is>
          <t>B</t>
        </is>
      </c>
      <c r="F27" t="inlineStr">
        <is>
          <t>DEC-0003</t>
        </is>
      </c>
      <c r="G27" t="n">
        <v>0.5</v>
      </c>
      <c r="H27" t="inlineStr">
        <is>
          <t>docs/pitch-model-v2/dossiers/H0_h0_history.md</t>
        </is>
      </c>
      <c r="I27" t="inlineStr">
        <is>
          <t>data/processed/pitch_model_v2/receipts/H0/receipt.json</t>
        </is>
      </c>
      <c r="J27" t="inlineStr"/>
    </row>
    <row r="28">
      <c r="A28" t="inlineStr">
        <is>
          <t>PD</t>
        </is>
      </c>
      <c r="B28" t="inlineStr">
        <is>
          <t>Product development, cash ($M)</t>
        </is>
      </c>
      <c r="C28" t="inlineStr">
        <is>
          <t>input</t>
        </is>
      </c>
      <c r="D28" t="inlineStr">
        <is>
          <t>1Q23–2Q26</t>
        </is>
      </c>
      <c r="E28" t="inlineStr">
        <is>
          <t>B</t>
        </is>
      </c>
      <c r="F28" t="inlineStr">
        <is>
          <t>DEC-0003</t>
        </is>
      </c>
      <c r="G28" t="n">
        <v>0.5</v>
      </c>
      <c r="H28" t="inlineStr">
        <is>
          <t>docs/pitch-model-v2/dossiers/H0_h0_history.md</t>
        </is>
      </c>
      <c r="I28" t="inlineStr">
        <is>
          <t>data/processed/pitch_model_v2/receipts/H0/receipt.json</t>
        </is>
      </c>
      <c r="J28" t="inlineStr"/>
    </row>
    <row r="29">
      <c r="A29" t="inlineStr">
        <is>
          <t>GA</t>
        </is>
      </c>
      <c r="B29" t="inlineStr">
        <is>
          <t>G&amp;A ex lodging reserve, cash ($M)</t>
        </is>
      </c>
      <c r="C29" t="inlineStr">
        <is>
          <t>input</t>
        </is>
      </c>
      <c r="D29" t="inlineStr">
        <is>
          <t>1Q23–2Q26</t>
        </is>
      </c>
      <c r="E29" t="inlineStr">
        <is>
          <t>B</t>
        </is>
      </c>
      <c r="F29" t="inlineStr">
        <is>
          <t>DEC-0003</t>
        </is>
      </c>
      <c r="G29" t="n">
        <v>0.5</v>
      </c>
      <c r="H29" t="inlineStr">
        <is>
          <t>docs/pitch-model-v2/dossiers/H0_h0_history.md</t>
        </is>
      </c>
      <c r="I29" t="inlineStr">
        <is>
          <t>data/processed/pitch_model_v2/receipts/H0/receipt.json</t>
        </is>
      </c>
      <c r="J29" t="inlineStr"/>
    </row>
    <row r="30">
      <c r="A30" t="inlineStr">
        <is>
          <t>SBC</t>
        </is>
      </c>
      <c r="B30" t="inlineStr">
        <is>
          <t>Stock-based compensation, total ($M)</t>
        </is>
      </c>
      <c r="C30" t="inlineStr">
        <is>
          <t>input</t>
        </is>
      </c>
      <c r="D30" t="inlineStr">
        <is>
          <t>1Q23–2Q26</t>
        </is>
      </c>
      <c r="E30" t="inlineStr">
        <is>
          <t>B</t>
        </is>
      </c>
      <c r="F30" t="inlineStr">
        <is>
          <t>DEC-0003</t>
        </is>
      </c>
      <c r="G30" t="n">
        <v>0.5</v>
      </c>
      <c r="H30" t="inlineStr">
        <is>
          <t>docs/pitch-model-v2/dossiers/H0_h0_history.md</t>
        </is>
      </c>
      <c r="I30" t="inlineStr">
        <is>
          <t>data/processed/pitch_model_v2/receipts/H0/receipt.json</t>
        </is>
      </c>
      <c r="J30" t="inlineStr"/>
    </row>
    <row r="31">
      <c r="A31" t="inlineStr">
        <is>
          <t>DA</t>
        </is>
      </c>
      <c r="B31" t="inlineStr">
        <is>
          <t>Depreciation &amp; amortization ($M)</t>
        </is>
      </c>
      <c r="C31" t="inlineStr">
        <is>
          <t>input</t>
        </is>
      </c>
      <c r="D31" t="inlineStr">
        <is>
          <t>1Q23–2Q26</t>
        </is>
      </c>
      <c r="E31" t="inlineStr">
        <is>
          <t>B</t>
        </is>
      </c>
      <c r="F31" t="inlineStr">
        <is>
          <t>DEC-0003</t>
        </is>
      </c>
      <c r="G31" t="n">
        <v>0.5</v>
      </c>
      <c r="H31" t="inlineStr">
        <is>
          <t>docs/pitch-model-v2/dossiers/H0_h0_history.md</t>
        </is>
      </c>
      <c r="I31" t="inlineStr">
        <is>
          <t>data/processed/pitch_model_v2/receipts/H0/receipt.json</t>
        </is>
      </c>
      <c r="J31" t="inlineStr"/>
    </row>
    <row r="32">
      <c r="A32" t="inlineStr">
        <is>
          <t>EBITDA</t>
        </is>
      </c>
      <c r="B32" t="inlineStr">
        <is>
          <t>Adjusted EBITDA ($M)</t>
        </is>
      </c>
      <c r="C32" t="inlineStr">
        <is>
          <t>input</t>
        </is>
      </c>
      <c r="D32" t="inlineStr">
        <is>
          <t>1Q23–2Q26</t>
        </is>
      </c>
      <c r="E32" t="inlineStr">
        <is>
          <t>B</t>
        </is>
      </c>
      <c r="F32" t="inlineStr">
        <is>
          <t>DEC-0003</t>
        </is>
      </c>
      <c r="G32" t="n">
        <v>0.5</v>
      </c>
      <c r="H32" t="inlineStr">
        <is>
          <t>docs/pitch-model-v2/dossiers/H0_h0_history.md</t>
        </is>
      </c>
      <c r="I32" t="inlineStr">
        <is>
          <t>data/processed/pitch_model_v2/receipts/H0/receipt.json</t>
        </is>
      </c>
      <c r="J32" t="inlineStr"/>
    </row>
    <row r="33">
      <c r="A33" t="inlineStr">
        <is>
          <t>SHARES</t>
        </is>
      </c>
      <c r="B33" t="inlineStr">
        <is>
          <t>Diluted shares, historical (m)</t>
        </is>
      </c>
      <c r="C33" t="inlineStr">
        <is>
          <t>input</t>
        </is>
      </c>
      <c r="D33" t="inlineStr">
        <is>
          <t>1Q23–2Q26</t>
        </is>
      </c>
      <c r="E33" t="inlineStr">
        <is>
          <t>B</t>
        </is>
      </c>
      <c r="F33" t="inlineStr">
        <is>
          <t>DEC-0003</t>
        </is>
      </c>
      <c r="G33" t="n">
        <v>0.1</v>
      </c>
      <c r="H33" t="inlineStr">
        <is>
          <t>docs/pitch-model-v2/dossiers/H0_h0_history.md</t>
        </is>
      </c>
      <c r="I33" t="inlineStr">
        <is>
          <t>data/processed/pitch_model_v2/receipts/H0/receipt.json</t>
        </is>
      </c>
      <c r="J33" t="inlineStr"/>
    </row>
    <row r="34">
      <c r="A34" t="inlineStr">
        <is>
          <t>SM</t>
        </is>
      </c>
      <c r="B34" t="inlineStr">
        <is>
          <t>Sales &amp; marketing, cash ($M)</t>
        </is>
      </c>
      <c r="C34" t="inlineStr">
        <is>
          <t>input</t>
        </is>
      </c>
      <c r="D34" t="inlineStr">
        <is>
          <t>1Q23–2Q26</t>
        </is>
      </c>
      <c r="E34" t="inlineStr">
        <is>
          <t>B</t>
        </is>
      </c>
      <c r="F34" t="inlineStr">
        <is>
          <t>DEC-0003</t>
        </is>
      </c>
      <c r="G34" t="n">
        <v>0.5</v>
      </c>
      <c r="H34" t="inlineStr">
        <is>
          <t>docs/pitch-model-v2/dossiers/H0_h0_history.md</t>
        </is>
      </c>
      <c r="I34" t="inlineStr">
        <is>
          <t>data/processed/pitch_model_v2/receipts/H0/receipt.json</t>
        </is>
      </c>
      <c r="J34" t="inlineStr"/>
    </row>
    <row r="35">
      <c r="A35" t="inlineStr">
        <is>
          <t>SM</t>
        </is>
      </c>
      <c r="B35" t="inlineStr">
        <is>
          <t>Sales &amp; marketing, cash ($M)</t>
        </is>
      </c>
      <c r="C35" t="inlineStr">
        <is>
          <t>input</t>
        </is>
      </c>
      <c r="D35" t="inlineStr">
        <is>
          <t>3Q26–FY27</t>
        </is>
      </c>
      <c r="E35" t="inlineStr">
        <is>
          <t>B</t>
        </is>
      </c>
      <c r="F35" t="inlineStr">
        <is>
          <t>DEC-0011</t>
        </is>
      </c>
      <c r="G35" t="n">
        <v>0.5</v>
      </c>
      <c r="H35" t="inlineStr">
        <is>
          <t>docs/pitch-model-v2/dossiers/C4_c4_sales_marketing.md</t>
        </is>
      </c>
      <c r="I35" t="inlineStr">
        <is>
          <t>data/processed/pitch_model_v2/receipts/C4/receipt.json</t>
        </is>
      </c>
      <c r="J35" t="inlineStr"/>
    </row>
    <row r="36">
      <c r="A36" t="inlineStr">
        <is>
          <t>STREET_EBITDA</t>
        </is>
      </c>
      <c r="B36" t="inlineStr">
        <is>
          <t>Street adjusted EBITDA ($M)</t>
        </is>
      </c>
      <c r="C36" t="inlineStr">
        <is>
          <t>input</t>
        </is>
      </c>
      <c r="D36" t="inlineStr">
        <is>
          <t>3Q26–FY27</t>
        </is>
      </c>
      <c r="E36" t="inlineStr">
        <is>
          <t>B</t>
        </is>
      </c>
      <c r="F36" t="inlineStr">
        <is>
          <t>DEC-0013</t>
        </is>
      </c>
      <c r="G36" t="n">
        <v>0.5</v>
      </c>
      <c r="H36" t="inlineStr">
        <is>
          <t>docs/pitch-model-v2/dossiers/V1_v1_street.md</t>
        </is>
      </c>
      <c r="I36" t="inlineStr">
        <is>
          <t>data/processed/pitch_model_v2/receipts/V1/receipt_l0_pytest.json</t>
        </is>
      </c>
      <c r="J36" t="inlineStr"/>
    </row>
    <row r="37">
      <c r="A37" t="inlineStr">
        <is>
          <t>STREET_EPS</t>
        </is>
      </c>
      <c r="B37" t="inlineStr">
        <is>
          <t>Street diluted EPS ($)</t>
        </is>
      </c>
      <c r="C37" t="inlineStr">
        <is>
          <t>input</t>
        </is>
      </c>
      <c r="D37" t="inlineStr">
        <is>
          <t>3Q26–FY27</t>
        </is>
      </c>
      <c r="E37" t="inlineStr">
        <is>
          <t>B</t>
        </is>
      </c>
      <c r="F37" t="inlineStr">
        <is>
          <t>DEC-0013</t>
        </is>
      </c>
      <c r="G37" t="n">
        <v>0.01</v>
      </c>
      <c r="H37" t="inlineStr">
        <is>
          <t>docs/pitch-model-v2/dossiers/V1_v1_street.md</t>
        </is>
      </c>
      <c r="I37" t="inlineStr">
        <is>
          <t>data/processed/pitch_model_v2/receipts/V1/receipt_l0_pytest.json</t>
        </is>
      </c>
      <c r="J37" t="inlineStr"/>
    </row>
    <row r="38">
      <c r="A38" t="inlineStr">
        <is>
          <t>STREET_MARGIN</t>
        </is>
      </c>
      <c r="B38" t="inlineStr">
        <is>
          <t>Street adjusted EBITDA margin (%)</t>
        </is>
      </c>
      <c r="C38" t="inlineStr">
        <is>
          <t>input</t>
        </is>
      </c>
      <c r="D38" t="inlineStr">
        <is>
          <t>FY27–FY27</t>
        </is>
      </c>
      <c r="E38" t="inlineStr">
        <is>
          <t>B</t>
        </is>
      </c>
      <c r="F38" t="inlineStr">
        <is>
          <t>DEC-0013</t>
        </is>
      </c>
      <c r="G38" t="n">
        <v>0.01</v>
      </c>
      <c r="H38" t="inlineStr">
        <is>
          <t>docs/pitch-model-v2/dossiers/V1_v1_street.md</t>
        </is>
      </c>
      <c r="I38" t="inlineStr">
        <is>
          <t>data/processed/pitch_model_v2/receipts/V1/receipt_l0_pytest.json</t>
        </is>
      </c>
      <c r="J38" t="inlineStr"/>
    </row>
    <row r="39">
      <c r="A39" t="inlineStr">
        <is>
          <t>MULT</t>
        </is>
      </c>
      <c r="B39" t="inlineStr">
        <is>
          <t>Exit EV / adj. EBITDA multiple (x)</t>
        </is>
      </c>
      <c r="C39" t="inlineStr">
        <is>
          <t>input</t>
        </is>
      </c>
      <c r="D39" t="inlineStr">
        <is>
          <t>FY27–FY27</t>
        </is>
      </c>
      <c r="E39" t="inlineStr">
        <is>
          <t>B</t>
        </is>
      </c>
      <c r="F39" t="inlineStr">
        <is>
          <t>DEC-0014</t>
        </is>
      </c>
      <c r="G39" t="n">
        <v>0.01</v>
      </c>
      <c r="H39" t="inlineStr">
        <is>
          <t>docs/pitch-model-v2/dossiers/V2_v2_multiple.md</t>
        </is>
      </c>
      <c r="I39" t="inlineStr">
        <is>
          <t>data/processed/pitch_model_v2/receipts/V2/receipt.json</t>
        </is>
      </c>
      <c r="J39" t="inlineStr"/>
    </row>
    <row r="40">
      <c r="A40" t="inlineStr">
        <is>
          <t>SLOPE</t>
        </is>
      </c>
      <c r="B40" t="inlineStr">
        <is>
          <t>Exit multiple slope (turns per pp of growth)</t>
        </is>
      </c>
      <c r="C40" t="inlineStr">
        <is>
          <t>input</t>
        </is>
      </c>
      <c r="D40" t="inlineStr">
        <is>
          <t>ALL–ALL</t>
        </is>
      </c>
      <c r="E40" t="inlineStr">
        <is>
          <t>B</t>
        </is>
      </c>
      <c r="F40" t="inlineStr">
        <is>
          <t>DEC-0015</t>
        </is>
      </c>
      <c r="G40" t="n">
        <v>0.01</v>
      </c>
      <c r="H40" t="inlineStr">
        <is>
          <t>docs/pitch-model-v2/dossiers/V2_v2_multiple.md</t>
        </is>
      </c>
      <c r="I40" t="inlineStr">
        <is>
          <t>data/processed/pitch_model_v2/receipts/V2/receipt.json</t>
        </is>
      </c>
      <c r="J40" t="inlineStr"/>
    </row>
    <row r="41">
      <c r="A41" t="inlineStr">
        <is>
          <t>SPOT</t>
        </is>
      </c>
      <c r="B41" t="inlineStr">
        <is>
          <t>Spot price ($)</t>
        </is>
      </c>
      <c r="C41" t="inlineStr">
        <is>
          <t>input</t>
        </is>
      </c>
      <c r="D41" t="inlineStr">
        <is>
          <t>ALL–ALL</t>
        </is>
      </c>
      <c r="E41" t="inlineStr">
        <is>
          <t>B</t>
        </is>
      </c>
      <c r="F41" t="inlineStr">
        <is>
          <t>DEC-0015</t>
        </is>
      </c>
      <c r="G41" t="n">
        <v>0.01</v>
      </c>
      <c r="H41" t="inlineStr">
        <is>
          <t>docs/pitch-model-v2/dossiers/V2_v2_multiple.md</t>
        </is>
      </c>
      <c r="I41" t="inlineStr">
        <is>
          <t>data/processed/pitch_model_v2/receipts/V2/receipt.json</t>
        </is>
      </c>
      <c r="J41" t="inlineStr"/>
    </row>
    <row r="42">
      <c r="A42" t="inlineStr">
        <is>
          <t>NETCASH</t>
        </is>
      </c>
      <c r="B42" t="inlineStr">
        <is>
          <t>Net cash ex client-held float ($M)</t>
        </is>
      </c>
      <c r="C42" t="inlineStr">
        <is>
          <t>input</t>
        </is>
      </c>
      <c r="D42" t="inlineStr">
        <is>
          <t>ALL–ALL</t>
        </is>
      </c>
      <c r="E42" t="inlineStr">
        <is>
          <t>B</t>
        </is>
      </c>
      <c r="F42" t="inlineStr">
        <is>
          <t>DEC-0015</t>
        </is>
      </c>
      <c r="G42" t="n">
        <v>0.5</v>
      </c>
      <c r="H42" t="inlineStr">
        <is>
          <t>docs/pitch-model-v2/dossiers/V2_v2_multiple.md</t>
        </is>
      </c>
      <c r="I42" t="inlineStr">
        <is>
          <t>data/processed/pitch_model_v2/receipts/V2/receipt.json</t>
        </is>
      </c>
      <c r="J42" t="inlineStr"/>
    </row>
    <row r="43">
      <c r="A43" t="inlineStr">
        <is>
          <t>SHARES_DIL</t>
        </is>
      </c>
      <c r="B43" t="inlineStr">
        <is>
          <t>Diluted shares, valuation basis (m)</t>
        </is>
      </c>
      <c r="C43" t="inlineStr">
        <is>
          <t>input</t>
        </is>
      </c>
      <c r="D43" t="inlineStr">
        <is>
          <t>ALL–ALL</t>
        </is>
      </c>
      <c r="E43" t="inlineStr">
        <is>
          <t>B</t>
        </is>
      </c>
      <c r="F43" t="inlineStr">
        <is>
          <t>DEC-0015</t>
        </is>
      </c>
      <c r="G43" t="n">
        <v>0.1</v>
      </c>
      <c r="H43" t="inlineStr">
        <is>
          <t>docs/pitch-model-v2/dossiers/V2_v2_multiple.md</t>
        </is>
      </c>
      <c r="I43" t="inlineStr">
        <is>
          <t>data/processed/pitch_model_v2/receipts/V2/receipt.json</t>
        </is>
      </c>
      <c r="J4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line</t>
        </is>
      </c>
      <c r="C1" s="2" t="inlineStr">
        <is>
          <t>period</t>
        </is>
      </c>
      <c r="D1" s="2" t="inlineStr">
        <is>
          <t>scenario</t>
        </is>
      </c>
      <c r="E1" s="2" t="inlineStr">
        <is>
          <t>value</t>
        </is>
      </c>
      <c r="F1" s="2" t="inlineStr">
        <is>
          <t>reason</t>
        </is>
      </c>
      <c r="G1" s="2" t="inlineStr">
        <is>
          <t>rejected</t>
        </is>
      </c>
      <c r="H1" s="2" t="inlineStr">
        <is>
          <t>date</t>
        </is>
      </c>
    </row>
    <row r="2">
      <c r="A2" t="inlineStr">
        <is>
          <t>DEC-0001</t>
        </is>
      </c>
      <c r="B2" t="inlineStr">
        <is>
          <t>R3</t>
        </is>
      </c>
      <c r="C2" t="inlineStr">
        <is>
          <t>3Q26</t>
        </is>
      </c>
      <c r="D2" t="inlineStr">
        <is>
          <t>base</t>
        </is>
      </c>
      <c r="E2" t="n">
        <v>1.857</v>
      </c>
      <c r="F2" t="inlineStr">
        <is>
          <t>trailing-8 mean cushion (pct points), the registered harness-scored statistic; implied guide = revenue / (1 + CUSH/100)</t>
        </is>
      </c>
      <c r="G2" t="inlineStr">
        <is>
          <t>1.790 (median); both-as-scenarios</t>
        </is>
      </c>
      <c r="H2" t="inlineStr">
        <is>
          <t>2026-09-18</t>
        </is>
      </c>
    </row>
    <row r="3">
      <c r="A3" t="inlineStr">
        <is>
          <t>DEC-0002</t>
        </is>
      </c>
      <c r="B3" t="inlineStr">
        <is>
          <t>R3</t>
        </is>
      </c>
      <c r="C3" t="inlineStr">
        <is>
          <t>all</t>
        </is>
      </c>
      <c r="D3" t="inlineStr">
        <is>
          <t>all</t>
        </is>
      </c>
      <c r="E3" t="inlineStr">
        <is>
          <t>volunteer no-edge</t>
        </is>
      </c>
      <c r="F3" t="inlineStr">
        <is>
          <t>when asked about the cushion, state guide-to-print mechanics AND that Street-to-guide fails both windows (7/14, 4/10)</t>
        </is>
      </c>
      <c r="G3" t="inlineStr">
        <is>
          <t>answer narrowly</t>
        </is>
      </c>
      <c r="H3" t="inlineStr">
        <is>
          <t>2026-09-18</t>
        </is>
      </c>
    </row>
    <row r="4">
      <c r="A4" t="inlineStr">
        <is>
          <t>DEC-0003</t>
        </is>
      </c>
      <c r="B4" t="inlineStr">
        <is>
          <t>H0</t>
        </is>
      </c>
      <c r="C4" t="inlineStr">
        <is>
          <t>1Q23-2Q26</t>
        </is>
      </c>
      <c r="D4" t="inlineStr">
        <is>
          <t>actual</t>
        </is>
      </c>
      <c r="E4" t="inlineStr">
        <is>
          <t>panel basis</t>
        </is>
      </c>
      <c r="F4" t="inlineStr">
        <is>
          <t>G&amp;A on ga_cash_ex_lodging; SBC and diluted shares at 4Q23/4Q25 from the margin-build panel's documented corrections (640.0m/614.0m shares; $290M/$411M SBC); grade B accepted</t>
        </is>
      </c>
      <c r="G4" t="inlineStr">
        <is>
          <t>driver-history values (653.0m/613.0m; $270M/$400M)</t>
        </is>
      </c>
      <c r="H4" t="inlineStr">
        <is>
          <t>2026-09-18</t>
        </is>
      </c>
    </row>
    <row r="5">
      <c r="A5" t="inlineStr">
        <is>
          <t>DEC-0004</t>
        </is>
      </c>
      <c r="B5" t="inlineStr">
        <is>
          <t>D1</t>
        </is>
      </c>
      <c r="C5" t="inlineStr">
        <is>
          <t>3Q26</t>
        </is>
      </c>
      <c r="D5" t="inlineStr">
        <is>
          <t>base</t>
        </is>
      </c>
      <c r="E5" t="n">
        <v>146.3</v>
      </c>
      <c r="F5" t="inlineStr">
        <is>
          <t>reviews stays index bias-corrected read, +9.5%; three routes agree at 9.49-9.52; band 8.5-11.0 for pre-registration and 6 Nov scoring, P10-P90 of N(9.5,1.70) for workbook scenarios; memo wording becomes the three-ratio sentence (0.68 W2 / 0.84 W1 / 0.76 re-vintaged; clears 0.75 on neither)</t>
        </is>
      </c>
      <c r="G5" t="inlineStr">
        <is>
          <t>team baseline 146.8m; index point with baseline band</t>
        </is>
      </c>
      <c r="H5" t="inlineStr">
        <is>
          <t>2026-09-18</t>
        </is>
      </c>
    </row>
    <row r="6">
      <c r="A6" t="inlineStr">
        <is>
          <t>DEC-0005</t>
        </is>
      </c>
      <c r="B6" t="inlineStr">
        <is>
          <t>V1</t>
        </is>
      </c>
      <c r="C6" t="inlineStr">
        <is>
          <t>3Q26</t>
        </is>
      </c>
      <c r="D6" t="inlineStr">
        <is>
          <t>street</t>
        </is>
      </c>
      <c r="E6" t="n">
        <v>149</v>
      </c>
      <c r="F6" t="inlineStr">
        <is>
          <t>3Q26 Street nights bar corrected to the cited 12 Sep Bloomberg MODL capture (n 28); memo v3's 148.9m came from a 4 Sep capture; E_positioning_card.py already says 149.0</t>
        </is>
      </c>
      <c r="G6" t="inlineStr">
        <is>
          <t>148.9 (keep memo, fix script)</t>
        </is>
      </c>
      <c r="H6" t="inlineStr">
        <is>
          <t>2026-09-18</t>
        </is>
      </c>
    </row>
    <row r="7">
      <c r="A7" t="inlineStr">
        <is>
          <t>DEC-0006</t>
        </is>
      </c>
      <c r="B7" t="inlineStr">
        <is>
          <t>R1</t>
        </is>
      </c>
      <c r="C7" t="inlineStr">
        <is>
          <t>all</t>
        </is>
      </c>
      <c r="D7" t="inlineStr">
        <is>
          <t>all</t>
        </is>
      </c>
      <c r="E7" t="inlineStr">
        <is>
          <t>fixed kernel for revenue</t>
        </is>
      </c>
      <c r="F7" t="inlineStr">
        <is>
          <t>λ by season (Q1 12.66, Q2 13.71, Q3 17.24, Q4 12.03 pct; last3_ex_covid window, digger recommendation pending Theo's confirmation) with weights 2/3 on GBV[q-1] and 1/3 on GBV[q-2] drives forward revenue only (R2, R5); joint 7-parameter rule carried as a labelled sensitivity row; PIT backtest shown with the guide-morning information set named</t>
        </is>
      </c>
      <c r="G7" t="inlineStr">
        <is>
          <t>joint rule; guide-growth baseline as spine</t>
        </is>
      </c>
      <c r="H7" t="inlineStr">
        <is>
          <t>2026-09-18</t>
        </is>
      </c>
    </row>
    <row r="8">
      <c r="A8" t="inlineStr">
        <is>
          <t>DEC-0007</t>
        </is>
      </c>
      <c r="B8" t="inlineStr">
        <is>
          <t>R4</t>
        </is>
      </c>
      <c r="C8" t="inlineStr">
        <is>
          <t>4Q26</t>
        </is>
      </c>
      <c r="D8" t="inlineStr">
        <is>
          <t>all</t>
        </is>
      </c>
      <c r="E8" t="inlineStr">
        <is>
          <t>C1 log model</t>
        </is>
      </c>
      <c r="F8" t="inlineStr">
        <is>
          <t>implied guide = EXP(season_Q4 + beta × LN(0.4·GBV_4Q26 + 0.4·GBV_3Q26 + 0.2·GBV_2Q26)) from Theo's gbv_guidance_inference_v1 coefficients (19 guides, fitted 16 Sep 2026); no cushion step; the kernel-revenue ÷ (1+CUSH/100) guide shown beside it as a labelled cross-check row; GBV_4Q26 is a live formula (nights × ADR) so the guide moves with the scenario</t>
        </is>
      </c>
      <c r="G8" t="inlineStr">
        <is>
          <t>kernel ÷ cushion as primary; frozen 4Q26 GBV input</t>
        </is>
      </c>
      <c r="H8" t="inlineStr">
        <is>
          <t>2026-09-18</t>
        </is>
      </c>
    </row>
    <row r="9">
      <c r="A9" t="inlineStr">
        <is>
          <t>DEC-0008</t>
        </is>
      </c>
      <c r="B9" t="inlineStr">
        <is>
          <t>D4</t>
        </is>
      </c>
      <c r="C9" t="inlineStr">
        <is>
          <t>3Q26</t>
        </is>
      </c>
      <c r="D9" t="inlineStr">
        <is>
          <t>base</t>
        </is>
      </c>
      <c r="E9" t="n">
        <v>176.88</v>
      </c>
      <c r="F9" t="inlineStr">
        <is>
          <t>ADR card v3 without the fee-migration term K (what memo v3 prints); K (+0.17pp) carried as a labelled sensitivity; docs/adrv3 SYNTHESIS §5 to be amended to match; grade B accepted (decomposition descriptive)</t>
        </is>
      </c>
      <c r="G9" t="inlineStr">
        <is>
          <t>with_K 177.17</t>
        </is>
      </c>
      <c r="H9" t="inlineStr">
        <is>
          <t>2026-09-18</t>
        </is>
      </c>
    </row>
    <row r="10">
      <c r="A10" t="inlineStr">
        <is>
          <t>DEC-0009</t>
        </is>
      </c>
      <c r="B10" t="inlineStr">
        <is>
          <t>D4</t>
        </is>
      </c>
      <c r="C10" t="inlineStr">
        <is>
          <t>4Q26</t>
        </is>
      </c>
      <c r="D10" t="inlineStr">
        <is>
          <t>all</t>
        </is>
      </c>
      <c r="E10" t="inlineStr">
        <is>
          <t>carry residual</t>
        </is>
      </c>
      <c r="F10" t="inlineStr">
        <is>
          <t>like-for-like price residual carried at last-quarter level (4.85pp) in base and breaker; lap-only 3.06pp is the short scenario (2.2pp of ADR, ~$65M revenue)</t>
        </is>
      </c>
      <c r="G10" t="inlineStr">
        <is>
          <t>lap-only in base</t>
        </is>
      </c>
      <c r="H10" t="inlineStr">
        <is>
          <t>2026-09-18</t>
        </is>
      </c>
    </row>
    <row r="11">
      <c r="A11" t="inlineStr">
        <is>
          <t>DEC-0010</t>
        </is>
      </c>
      <c r="B11" t="inlineStr">
        <is>
          <t>D5</t>
        </is>
      </c>
      <c r="C11" t="inlineStr">
        <is>
          <t>4Q26</t>
        </is>
      </c>
      <c r="D11" t="inlineStr">
        <is>
          <t>all</t>
        </is>
      </c>
      <c r="E11" t="n">
        <v>0.98</v>
      </c>
      <c r="F11" t="inlineStr">
        <is>
          <t>revenue FX +0.98pp base (spot held; Φ×0.851 adopted), +0.52 short (USD one sigma stronger), +1.45 breaker (one sigma weaker); confidence set +0.3 to +2.2; memo's "84% observed for 4Q26" relabelled as a 3Q26 figure; grade B accepted</t>
        </is>
      </c>
      <c r="G11" t="inlineStr">
        <is>
          <t>shape-only fit +0.75; other mapping</t>
        </is>
      </c>
      <c r="H11" t="inlineStr">
        <is>
          <t>2026-09-18</t>
        </is>
      </c>
    </row>
    <row r="12">
      <c r="A12" t="inlineStr">
        <is>
          <t>DEC-0011</t>
        </is>
      </c>
      <c r="B12" t="inlineStr">
        <is>
          <t>C4</t>
        </is>
      </c>
      <c r="C12" t="inlineStr">
        <is>
          <t>all</t>
        </is>
      </c>
      <c r="D12" t="inlineStr">
        <is>
          <t>all</t>
        </is>
      </c>
      <c r="E12" t="inlineStr">
        <is>
          <t>line build; budget</t>
        </is>
      </c>
      <c r="F12" t="inlineStr">
        <is>
          <t>cost stack from 40_line_build for composition (3Q26 S&amp;M $778M reconciled to the management sentence treated as a budget); the calibrated combination's dollar object reserved for the 5 Nov card; evidence-only $710M / 52.4% shown as the upside risk case; FY27 S&amp;M band 21.9-23.5% stated</t>
        </is>
      </c>
      <c r="G12" t="inlineStr">
        <is>
          <t>combination as stack; sentence as floor</t>
        </is>
      </c>
      <c r="H12" t="inlineStr">
        <is>
          <t>2026-09-18</t>
        </is>
      </c>
    </row>
    <row r="13">
      <c r="A13" t="inlineStr">
        <is>
          <t>DEC-0012</t>
        </is>
      </c>
      <c r="B13" t="inlineStr">
        <is>
          <t>V1</t>
        </is>
      </c>
      <c r="C13" t="inlineStr">
        <is>
          <t>all</t>
        </is>
      </c>
      <c r="D13" t="inlineStr">
        <is>
          <t>street</t>
        </is>
      </c>
      <c r="E13" t="inlineStr">
        <is>
          <t>grade B</t>
        </is>
      </c>
      <c r="F13" t="inlineStr">
        <is>
          <t>the frozen L0 register tests (exit 0) are this line's reproduction; consensus_stamp_v2 verify-mode exit 1 logged as a tooling defect (it can only pass once, right after its own append)</t>
        </is>
      </c>
      <c r="G13" t="inlineStr">
        <is>
          <t>keep C, scenario rows only</t>
        </is>
      </c>
      <c r="H13" t="inlineStr">
        <is>
          <t>2026-09-18</t>
        </is>
      </c>
    </row>
    <row r="14">
      <c r="A14" t="inlineStr">
        <is>
          <t>DEC-0013</t>
        </is>
      </c>
      <c r="B14" t="inlineStr">
        <is>
          <t>V1</t>
        </is>
      </c>
      <c r="C14" t="inlineStr">
        <is>
          <t>all</t>
        </is>
      </c>
      <c r="D14" t="inlineStr">
        <is>
          <t>street</t>
        </is>
      </c>
      <c r="E14" t="inlineStr">
        <is>
          <t>LSEG family</t>
        </is>
      </c>
      <c r="F14" t="inlineStr">
        <is>
          <t>LSEG-family panel is the headline Street row (n 35-37, consistent with memo v3 EBITDA/EPS rows); Zacks as scenario street_zacks footnote rows where it differs (4Q26 3200 vs 3158-3162); FY27 margin shown on both bases (36.45 implied, 35.06 LSEG field)</t>
        </is>
      </c>
      <c r="G14" t="inlineStr">
        <is>
          <t>equal rows</t>
        </is>
      </c>
      <c r="H14" t="inlineStr">
        <is>
          <t>2026-09-18</t>
        </is>
      </c>
    </row>
    <row r="15">
      <c r="A15" t="inlineStr">
        <is>
          <t>DEC-0014</t>
        </is>
      </c>
      <c r="B15" t="inlineStr">
        <is>
          <t>V2</t>
        </is>
      </c>
      <c r="C15" t="inlineStr">
        <is>
          <t>FY27</t>
        </is>
      </c>
      <c r="D15" t="inlineStr">
        <is>
          <t>all</t>
        </is>
      </c>
      <c r="E15" t="inlineStr">
        <is>
          <t>12.29 / 16.03 / 20.76</t>
        </is>
      </c>
      <c r="F15" t="inlineStr">
        <is>
          <t>exit EV/adj. EBITDA multiples re-anchored by the line's own +0.486 turns/pt slope to the final model's growths (bear/base/bull); the WS12 blend to be re-run on those growths before finals; slope quoted as +0.49 turns/pt with 95% CI 0.32-0.65, n 35 overlapping monthly changes, descriptive</t>
        </is>
      </c>
      <c r="G15" t="inlineStr">
        <is>
          <t>keep 13.5/16.5/18.5 + footnote; re-run blend now</t>
        </is>
      </c>
      <c r="H15" t="inlineStr">
        <is>
          <t>2026-09-18</t>
        </is>
      </c>
    </row>
    <row r="16">
      <c r="A16" t="inlineStr">
        <is>
          <t>DEC-0015</t>
        </is>
      </c>
      <c r="B16" t="inlineStr">
        <is>
          <t>V2</t>
        </is>
      </c>
      <c r="C16" t="inlineStr">
        <is>
          <t>all</t>
        </is>
      </c>
      <c r="D16" t="inlineStr">
        <is>
          <t>all</t>
        </is>
      </c>
      <c r="E16" t="inlineStr">
        <is>
          <t>167.51 provisional</t>
        </is>
      </c>
      <c r="F16" t="inlineStr">
        <is>
          <t>spot price and date left PROVISIONAL at memo v3's $167.51 (16 Sep 2026 close) per Theo: construct the model line by line first, decide the refresh when the model stands; every upside is recomputed at that refresh</t>
        </is>
      </c>
      <c r="G16" t="inlineStr">
        <is>
          <t>refresh now</t>
        </is>
      </c>
      <c r="H16" t="inlineStr">
        <is>
          <t>2026-09-18</t>
        </is>
      </c>
    </row>
    <row r="17">
      <c r="A17" t="inlineStr">
        <is>
          <t>DEC-0016</t>
        </is>
      </c>
      <c r="B17" t="inlineStr">
        <is>
          <t>all</t>
        </is>
      </c>
      <c r="C17" t="inlineStr">
        <is>
          <t>all</t>
        </is>
      </c>
      <c r="D17" t="inlineStr">
        <is>
          <t>all</t>
        </is>
      </c>
      <c r="E17" t="inlineStr">
        <is>
          <t>no leaning</t>
        </is>
      </c>
      <c r="F17" t="inlineStr">
        <is>
          <t>standing rule from Theo: scenarios are mechanical consequences of stated assumptions and the model generates the price; no input is chosen to match a priced downside or the memo's target. Consequence for D4: short 3Q26 ADR stays at the lap-only 173.80 (DEC-0009); the mean-reversion floor 172.97 stays a dossier note, not an input</t>
        </is>
      </c>
      <c r="G17" t="inlineStr">
        <is>
          <t>pick the floor to match memo v3's 0.12 downside</t>
        </is>
      </c>
      <c r="H17" t="inlineStr">
        <is>
          <t>2026-09-18</t>
        </is>
      </c>
    </row>
    <row r="18">
      <c r="A18" t="inlineStr">
        <is>
          <t>DEC-0017</t>
        </is>
      </c>
      <c r="B18" t="inlineStr">
        <is>
          <t>R4</t>
        </is>
      </c>
      <c r="C18" t="inlineStr">
        <is>
          <t>4Q26</t>
        </is>
      </c>
      <c r="D18" t="inlineStr">
        <is>
          <t>all</t>
        </is>
      </c>
      <c r="E18" t="inlineStr">
        <is>
          <t>deferred</t>
        </is>
      </c>
      <c r="F18" t="inlineStr">
        <is>
          <t>guide mechanism decision parked per Theo ("focus on the guidance later; gather understanding; full focus on the income statement"); R4C coefficients graded B and stored (HAC3 interval quoted when used); no GUIDE line enters the spec until this is reopened; the C1-vs-baselines backtest (RMSE 65.9 vs 50.5 blend vs 63.5 guide-growth) is on record in the R4C dossier</t>
        </is>
      </c>
      <c r="G18" t="inlineStr">
        <is>
          <t>C1 primary now; blend primary; guide-growth primary</t>
        </is>
      </c>
      <c r="H18" t="inlineStr">
        <is>
          <t>2026-09-18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period</t>
        </is>
      </c>
      <c r="C1" s="2" t="inlineStr">
        <is>
          <t>label</t>
        </is>
      </c>
      <c r="D1" s="2" t="inlineStr">
        <is>
          <t>unit</t>
        </is>
      </c>
      <c r="E1" s="2" t="inlineStr">
        <is>
          <t>base</t>
        </is>
      </c>
      <c r="F1" s="2" t="inlineStr">
        <is>
          <t>short</t>
        </is>
      </c>
      <c r="G1" s="2" t="inlineStr">
        <is>
          <t>breaker</t>
        </is>
      </c>
    </row>
    <row r="2">
      <c r="A2" t="inlineStr">
        <is>
          <t>NIGHTS</t>
        </is>
      </c>
      <c r="B2" t="inlineStr">
        <is>
          <t>1Q23</t>
        </is>
      </c>
      <c r="C2" t="inlineStr">
        <is>
          <t>Nights booked (m)</t>
        </is>
      </c>
      <c r="D2" t="inlineStr">
        <is>
          <t>m</t>
        </is>
      </c>
      <c r="E2" t="n">
        <v>121.1</v>
      </c>
      <c r="F2" t="n">
        <v>121.1</v>
      </c>
      <c r="G2" t="n">
        <v>121.1</v>
      </c>
    </row>
    <row r="3">
      <c r="A3" t="inlineStr">
        <is>
          <t>NIGHTS</t>
        </is>
      </c>
      <c r="B3" t="inlineStr">
        <is>
          <t>2Q23</t>
        </is>
      </c>
      <c r="C3" t="inlineStr">
        <is>
          <t>Nights booked (m)</t>
        </is>
      </c>
      <c r="D3" t="inlineStr">
        <is>
          <t>m</t>
        </is>
      </c>
      <c r="E3" t="n">
        <v>115.1</v>
      </c>
      <c r="F3" t="n">
        <v>115.1</v>
      </c>
      <c r="G3" t="n">
        <v>115.1</v>
      </c>
    </row>
    <row r="4">
      <c r="A4" t="inlineStr">
        <is>
          <t>NIGHTS</t>
        </is>
      </c>
      <c r="B4" t="inlineStr">
        <is>
          <t>3Q23</t>
        </is>
      </c>
      <c r="C4" t="inlineStr">
        <is>
          <t>Nights booked (m)</t>
        </is>
      </c>
      <c r="D4" t="inlineStr">
        <is>
          <t>m</t>
        </is>
      </c>
      <c r="E4" t="n">
        <v>113.2</v>
      </c>
      <c r="F4" t="n">
        <v>113.2</v>
      </c>
      <c r="G4" t="n">
        <v>113.2</v>
      </c>
    </row>
    <row r="5">
      <c r="A5" t="inlineStr">
        <is>
          <t>NIGHTS</t>
        </is>
      </c>
      <c r="B5" t="inlineStr">
        <is>
          <t>4Q23</t>
        </is>
      </c>
      <c r="C5" t="inlineStr">
        <is>
          <t>Nights booked (m)</t>
        </is>
      </c>
      <c r="D5" t="inlineStr">
        <is>
          <t>m</t>
        </is>
      </c>
      <c r="E5" t="n">
        <v>98.8</v>
      </c>
      <c r="F5" t="n">
        <v>98.8</v>
      </c>
      <c r="G5" t="n">
        <v>98.8</v>
      </c>
    </row>
    <row r="6">
      <c r="A6" t="inlineStr">
        <is>
          <t>NIGHTS</t>
        </is>
      </c>
      <c r="B6" t="inlineStr">
        <is>
          <t>1Q24</t>
        </is>
      </c>
      <c r="C6" t="inlineStr">
        <is>
          <t>Nights booked (m)</t>
        </is>
      </c>
      <c r="D6" t="inlineStr">
        <is>
          <t>m</t>
        </is>
      </c>
      <c r="E6" t="n">
        <v>132.6</v>
      </c>
      <c r="F6" t="n">
        <v>132.6</v>
      </c>
      <c r="G6" t="n">
        <v>132.6</v>
      </c>
    </row>
    <row r="7">
      <c r="A7" t="inlineStr">
        <is>
          <t>NIGHTS</t>
        </is>
      </c>
      <c r="B7" t="inlineStr">
        <is>
          <t>2Q24</t>
        </is>
      </c>
      <c r="C7" t="inlineStr">
        <is>
          <t>Nights booked (m)</t>
        </is>
      </c>
      <c r="D7" t="inlineStr">
        <is>
          <t>m</t>
        </is>
      </c>
      <c r="E7" t="n">
        <v>125.1</v>
      </c>
      <c r="F7" t="n">
        <v>125.1</v>
      </c>
      <c r="G7" t="n">
        <v>125.1</v>
      </c>
    </row>
    <row r="8">
      <c r="A8" t="inlineStr">
        <is>
          <t>NIGHTS</t>
        </is>
      </c>
      <c r="B8" t="inlineStr">
        <is>
          <t>3Q24</t>
        </is>
      </c>
      <c r="C8" t="inlineStr">
        <is>
          <t>Nights booked (m)</t>
        </is>
      </c>
      <c r="D8" t="inlineStr">
        <is>
          <t>m</t>
        </is>
      </c>
      <c r="E8" t="n">
        <v>122.8</v>
      </c>
      <c r="F8" t="n">
        <v>122.8</v>
      </c>
      <c r="G8" t="n">
        <v>122.8</v>
      </c>
    </row>
    <row r="9">
      <c r="A9" t="inlineStr">
        <is>
          <t>NIGHTS</t>
        </is>
      </c>
      <c r="B9" t="inlineStr">
        <is>
          <t>4Q24</t>
        </is>
      </c>
      <c r="C9" t="inlineStr">
        <is>
          <t>Nights booked (m)</t>
        </is>
      </c>
      <c r="D9" t="inlineStr">
        <is>
          <t>m</t>
        </is>
      </c>
      <c r="E9" t="n">
        <v>111</v>
      </c>
      <c r="F9" t="n">
        <v>111</v>
      </c>
      <c r="G9" t="n">
        <v>111</v>
      </c>
    </row>
    <row r="10">
      <c r="A10" t="inlineStr">
        <is>
          <t>NIGHTS</t>
        </is>
      </c>
      <c r="B10" t="inlineStr">
        <is>
          <t>1Q25</t>
        </is>
      </c>
      <c r="C10" t="inlineStr">
        <is>
          <t>Nights booked (m)</t>
        </is>
      </c>
      <c r="D10" t="inlineStr">
        <is>
          <t>m</t>
        </is>
      </c>
      <c r="E10" t="n">
        <v>143.1</v>
      </c>
      <c r="F10" t="n">
        <v>143.1</v>
      </c>
      <c r="G10" t="n">
        <v>143.1</v>
      </c>
    </row>
    <row r="11">
      <c r="A11" t="inlineStr">
        <is>
          <t>NIGHTS</t>
        </is>
      </c>
      <c r="B11" t="inlineStr">
        <is>
          <t>2Q25</t>
        </is>
      </c>
      <c r="C11" t="inlineStr">
        <is>
          <t>Nights booked (m)</t>
        </is>
      </c>
      <c r="D11" t="inlineStr">
        <is>
          <t>m</t>
        </is>
      </c>
      <c r="E11" t="n">
        <v>134.4</v>
      </c>
      <c r="F11" t="n">
        <v>134.4</v>
      </c>
      <c r="G11" t="n">
        <v>134.4</v>
      </c>
    </row>
    <row r="12">
      <c r="A12" t="inlineStr">
        <is>
          <t>NIGHTS</t>
        </is>
      </c>
      <c r="B12" t="inlineStr">
        <is>
          <t>3Q25</t>
        </is>
      </c>
      <c r="C12" t="inlineStr">
        <is>
          <t>Nights booked (m)</t>
        </is>
      </c>
      <c r="D12" t="inlineStr">
        <is>
          <t>m</t>
        </is>
      </c>
      <c r="E12" t="n">
        <v>133.6</v>
      </c>
      <c r="F12" t="n">
        <v>133.6</v>
      </c>
      <c r="G12" t="n">
        <v>133.6</v>
      </c>
    </row>
    <row r="13">
      <c r="A13" t="inlineStr">
        <is>
          <t>NIGHTS</t>
        </is>
      </c>
      <c r="B13" t="inlineStr">
        <is>
          <t>4Q25</t>
        </is>
      </c>
      <c r="C13" t="inlineStr">
        <is>
          <t>Nights booked (m)</t>
        </is>
      </c>
      <c r="D13" t="inlineStr">
        <is>
          <t>m</t>
        </is>
      </c>
      <c r="E13" t="n">
        <v>121.9</v>
      </c>
      <c r="F13" t="n">
        <v>121.9</v>
      </c>
      <c r="G13" t="n">
        <v>121.9</v>
      </c>
    </row>
    <row r="14">
      <c r="A14" t="inlineStr">
        <is>
          <t>NIGHTS</t>
        </is>
      </c>
      <c r="B14" t="inlineStr">
        <is>
          <t>1Q26</t>
        </is>
      </c>
      <c r="C14" t="inlineStr">
        <is>
          <t>Nights booked (m)</t>
        </is>
      </c>
      <c r="D14" t="inlineStr">
        <is>
          <t>m</t>
        </is>
      </c>
      <c r="E14" t="n">
        <v>156.2</v>
      </c>
      <c r="F14" t="n">
        <v>156.2</v>
      </c>
      <c r="G14" t="n">
        <v>156.2</v>
      </c>
    </row>
    <row r="15">
      <c r="A15" t="inlineStr">
        <is>
          <t>NIGHTS</t>
        </is>
      </c>
      <c r="B15" t="inlineStr">
        <is>
          <t>2Q26</t>
        </is>
      </c>
      <c r="C15" t="inlineStr">
        <is>
          <t>Nights booked (m)</t>
        </is>
      </c>
      <c r="D15" t="inlineStr">
        <is>
          <t>m</t>
        </is>
      </c>
      <c r="E15" t="n">
        <v>148.3</v>
      </c>
      <c r="F15" t="n">
        <v>148.3</v>
      </c>
      <c r="G15" t="n">
        <v>148.3</v>
      </c>
    </row>
    <row r="16">
      <c r="A16" t="inlineStr">
        <is>
          <t>NIGHTS</t>
        </is>
      </c>
      <c r="B16" t="inlineStr">
        <is>
          <t>3Q26</t>
        </is>
      </c>
      <c r="C16" t="inlineStr">
        <is>
          <t>Nights booked (m)</t>
        </is>
      </c>
      <c r="D16" t="inlineStr">
        <is>
          <t>m</t>
        </is>
      </c>
      <c r="E16" t="n">
        <v>146.3</v>
      </c>
      <c r="F16" t="n">
        <v>145</v>
      </c>
      <c r="G16" t="n">
        <v>147</v>
      </c>
    </row>
    <row r="17">
      <c r="A17" t="inlineStr">
        <is>
          <t>ADR</t>
        </is>
      </c>
      <c r="B17" t="inlineStr">
        <is>
          <t>1Q23</t>
        </is>
      </c>
      <c r="C17" t="inlineStr">
        <is>
          <t>ADR ($)</t>
        </is>
      </c>
      <c r="D17" t="inlineStr">
        <is>
          <t>usd</t>
        </is>
      </c>
      <c r="E17" t="n">
        <v>168.43</v>
      </c>
      <c r="F17" t="n">
        <v>168.43</v>
      </c>
      <c r="G17" t="n">
        <v>168.43</v>
      </c>
    </row>
    <row r="18">
      <c r="A18" t="inlineStr">
        <is>
          <t>ADR</t>
        </is>
      </c>
      <c r="B18" t="inlineStr">
        <is>
          <t>2Q23</t>
        </is>
      </c>
      <c r="C18" t="inlineStr">
        <is>
          <t>ADR ($)</t>
        </is>
      </c>
      <c r="D18" t="inlineStr">
        <is>
          <t>usd</t>
        </is>
      </c>
      <c r="E18" t="n">
        <v>166.01</v>
      </c>
      <c r="F18" t="n">
        <v>166.01</v>
      </c>
      <c r="G18" t="n">
        <v>166.01</v>
      </c>
    </row>
    <row r="19">
      <c r="A19" t="inlineStr">
        <is>
          <t>ADR</t>
        </is>
      </c>
      <c r="B19" t="inlineStr">
        <is>
          <t>3Q23</t>
        </is>
      </c>
      <c r="C19" t="inlineStr">
        <is>
          <t>ADR ($)</t>
        </is>
      </c>
      <c r="D19" t="inlineStr">
        <is>
          <t>usd</t>
        </is>
      </c>
      <c r="E19" t="n">
        <v>161.38</v>
      </c>
      <c r="F19" t="n">
        <v>161.38</v>
      </c>
      <c r="G19" t="n">
        <v>161.38</v>
      </c>
    </row>
    <row r="20">
      <c r="A20" t="inlineStr">
        <is>
          <t>ADR</t>
        </is>
      </c>
      <c r="B20" t="inlineStr">
        <is>
          <t>4Q23</t>
        </is>
      </c>
      <c r="C20" t="inlineStr">
        <is>
          <t>ADR ($)</t>
        </is>
      </c>
      <c r="D20" t="inlineStr">
        <is>
          <t>usd</t>
        </is>
      </c>
      <c r="E20" t="n">
        <v>156.73</v>
      </c>
      <c r="F20" t="n">
        <v>156.73</v>
      </c>
      <c r="G20" t="n">
        <v>156.73</v>
      </c>
    </row>
    <row r="21">
      <c r="A21" t="inlineStr">
        <is>
          <t>ADR</t>
        </is>
      </c>
      <c r="B21" t="inlineStr">
        <is>
          <t>1Q24</t>
        </is>
      </c>
      <c r="C21" t="inlineStr">
        <is>
          <t>ADR ($)</t>
        </is>
      </c>
      <c r="D21" t="inlineStr">
        <is>
          <t>usd</t>
        </is>
      </c>
      <c r="E21" t="n">
        <v>172.88</v>
      </c>
      <c r="F21" t="n">
        <v>172.88</v>
      </c>
      <c r="G21" t="n">
        <v>172.88</v>
      </c>
    </row>
    <row r="22">
      <c r="A22" t="inlineStr">
        <is>
          <t>ADR</t>
        </is>
      </c>
      <c r="B22" t="inlineStr">
        <is>
          <t>2Q24</t>
        </is>
      </c>
      <c r="C22" t="inlineStr">
        <is>
          <t>ADR ($)</t>
        </is>
      </c>
      <c r="D22" t="inlineStr">
        <is>
          <t>usd</t>
        </is>
      </c>
      <c r="E22" t="n">
        <v>169.53</v>
      </c>
      <c r="F22" t="n">
        <v>169.53</v>
      </c>
      <c r="G22" t="n">
        <v>169.53</v>
      </c>
    </row>
    <row r="23">
      <c r="A23" t="inlineStr">
        <is>
          <t>ADR</t>
        </is>
      </c>
      <c r="B23" t="inlineStr">
        <is>
          <t>3Q24</t>
        </is>
      </c>
      <c r="C23" t="inlineStr">
        <is>
          <t>ADR ($)</t>
        </is>
      </c>
      <c r="D23" t="inlineStr">
        <is>
          <t>usd</t>
        </is>
      </c>
      <c r="E23" t="n">
        <v>163.64</v>
      </c>
      <c r="F23" t="n">
        <v>163.64</v>
      </c>
      <c r="G23" t="n">
        <v>163.64</v>
      </c>
    </row>
    <row r="24">
      <c r="A24" t="inlineStr">
        <is>
          <t>ADR</t>
        </is>
      </c>
      <c r="B24" t="inlineStr">
        <is>
          <t>4Q24</t>
        </is>
      </c>
      <c r="C24" t="inlineStr">
        <is>
          <t>ADR ($)</t>
        </is>
      </c>
      <c r="D24" t="inlineStr">
        <is>
          <t>usd</t>
        </is>
      </c>
      <c r="E24" t="n">
        <v>158.13</v>
      </c>
      <c r="F24" t="n">
        <v>158.13</v>
      </c>
      <c r="G24" t="n">
        <v>158.13</v>
      </c>
    </row>
    <row r="25">
      <c r="A25" t="inlineStr">
        <is>
          <t>ADR</t>
        </is>
      </c>
      <c r="B25" t="inlineStr">
        <is>
          <t>1Q25</t>
        </is>
      </c>
      <c r="C25" t="inlineStr">
        <is>
          <t>ADR ($)</t>
        </is>
      </c>
      <c r="D25" t="inlineStr">
        <is>
          <t>usd</t>
        </is>
      </c>
      <c r="E25" t="n">
        <v>171.34</v>
      </c>
      <c r="F25" t="n">
        <v>171.34</v>
      </c>
      <c r="G25" t="n">
        <v>171.34</v>
      </c>
    </row>
    <row r="26">
      <c r="A26" t="inlineStr">
        <is>
          <t>ADR</t>
        </is>
      </c>
      <c r="B26" t="inlineStr">
        <is>
          <t>2Q25</t>
        </is>
      </c>
      <c r="C26" t="inlineStr">
        <is>
          <t>ADR ($)</t>
        </is>
      </c>
      <c r="D26" t="inlineStr">
        <is>
          <t>usd</t>
        </is>
      </c>
      <c r="E26" t="n">
        <v>174.48</v>
      </c>
      <c r="F26" t="n">
        <v>174.48</v>
      </c>
      <c r="G26" t="n">
        <v>174.48</v>
      </c>
    </row>
    <row r="27">
      <c r="A27" t="inlineStr">
        <is>
          <t>ADR</t>
        </is>
      </c>
      <c r="B27" t="inlineStr">
        <is>
          <t>3Q25</t>
        </is>
      </c>
      <c r="C27" t="inlineStr">
        <is>
          <t>ADR ($)</t>
        </is>
      </c>
      <c r="D27" t="inlineStr">
        <is>
          <t>usd</t>
        </is>
      </c>
      <c r="E27" t="n">
        <v>171.29</v>
      </c>
      <c r="F27" t="n">
        <v>171.29</v>
      </c>
      <c r="G27" t="n">
        <v>171.29</v>
      </c>
    </row>
    <row r="28">
      <c r="A28" t="inlineStr">
        <is>
          <t>ADR</t>
        </is>
      </c>
      <c r="B28" t="inlineStr">
        <is>
          <t>4Q25</t>
        </is>
      </c>
      <c r="C28" t="inlineStr">
        <is>
          <t>ADR ($)</t>
        </is>
      </c>
      <c r="D28" t="inlineStr">
        <is>
          <t>usd</t>
        </is>
      </c>
      <c r="E28" t="n">
        <v>167.51</v>
      </c>
      <c r="F28" t="n">
        <v>167.51</v>
      </c>
      <c r="G28" t="n">
        <v>167.51</v>
      </c>
    </row>
    <row r="29">
      <c r="A29" t="inlineStr">
        <is>
          <t>ADR</t>
        </is>
      </c>
      <c r="B29" t="inlineStr">
        <is>
          <t>1Q26</t>
        </is>
      </c>
      <c r="C29" t="inlineStr">
        <is>
          <t>ADR ($)</t>
        </is>
      </c>
      <c r="D29" t="inlineStr">
        <is>
          <t>usd</t>
        </is>
      </c>
      <c r="E29" t="n">
        <v>186.82</v>
      </c>
      <c r="F29" t="n">
        <v>186.82</v>
      </c>
      <c r="G29" t="n">
        <v>186.82</v>
      </c>
    </row>
    <row r="30">
      <c r="A30" t="inlineStr">
        <is>
          <t>ADR</t>
        </is>
      </c>
      <c r="B30" t="inlineStr">
        <is>
          <t>2Q26</t>
        </is>
      </c>
      <c r="C30" t="inlineStr">
        <is>
          <t>ADR ($)</t>
        </is>
      </c>
      <c r="D30" t="inlineStr">
        <is>
          <t>usd</t>
        </is>
      </c>
      <c r="E30" t="n">
        <v>183.73</v>
      </c>
      <c r="F30" t="n">
        <v>183.73</v>
      </c>
      <c r="G30" t="n">
        <v>183.73</v>
      </c>
    </row>
    <row r="31">
      <c r="A31" t="inlineStr">
        <is>
          <t>ADR</t>
        </is>
      </c>
      <c r="B31" t="inlineStr">
        <is>
          <t>3Q26</t>
        </is>
      </c>
      <c r="C31" t="inlineStr">
        <is>
          <t>ADR ($)</t>
        </is>
      </c>
      <c r="D31" t="inlineStr">
        <is>
          <t>usd</t>
        </is>
      </c>
      <c r="E31" t="n">
        <v>176.88</v>
      </c>
      <c r="F31" t="n">
        <v>173.8</v>
      </c>
      <c r="G31" t="n">
        <v>178.47</v>
      </c>
    </row>
    <row r="32">
      <c r="A32" t="inlineStr">
        <is>
          <t>ADR</t>
        </is>
      </c>
      <c r="B32" t="inlineStr">
        <is>
          <t>4Q26</t>
        </is>
      </c>
      <c r="C32" t="inlineStr">
        <is>
          <t>ADR ($)</t>
        </is>
      </c>
      <c r="D32" t="inlineStr">
        <is>
          <t>usd</t>
        </is>
      </c>
      <c r="E32" t="n">
        <v>173.94</v>
      </c>
      <c r="F32" t="n">
        <v>170.94</v>
      </c>
      <c r="G32" t="n">
        <v>177.35</v>
      </c>
    </row>
    <row r="33">
      <c r="A33" t="inlineStr">
        <is>
          <t>FX_REV</t>
        </is>
      </c>
      <c r="B33" t="inlineStr">
        <is>
          <t>3Q26</t>
        </is>
      </c>
      <c r="C33" t="inlineStr">
        <is>
          <t>Revenue FX contribution (pp y/y)</t>
        </is>
      </c>
      <c r="D33" t="inlineStr">
        <is>
          <t>pp</t>
        </is>
      </c>
      <c r="E33" t="n">
        <v>2.89</v>
      </c>
      <c r="F33" t="n">
        <v>2.89</v>
      </c>
      <c r="G33" t="n">
        <v>2.89</v>
      </c>
    </row>
    <row r="34">
      <c r="A34" t="inlineStr">
        <is>
          <t>FX_REV</t>
        </is>
      </c>
      <c r="B34" t="inlineStr">
        <is>
          <t>4Q26</t>
        </is>
      </c>
      <c r="C34" t="inlineStr">
        <is>
          <t>Revenue FX contribution (pp y/y)</t>
        </is>
      </c>
      <c r="D34" t="inlineStr">
        <is>
          <t>pp</t>
        </is>
      </c>
      <c r="E34" t="n">
        <v>0.98</v>
      </c>
      <c r="F34" t="n">
        <v>0.52</v>
      </c>
      <c r="G34" t="n">
        <v>1.45</v>
      </c>
    </row>
    <row r="35">
      <c r="A35" t="inlineStr">
        <is>
          <t>FX_REV</t>
        </is>
      </c>
      <c r="B35" t="inlineStr">
        <is>
          <t>1Q27</t>
        </is>
      </c>
      <c r="C35" t="inlineStr">
        <is>
          <t>Revenue FX contribution (pp y/y)</t>
        </is>
      </c>
      <c r="D35" t="inlineStr">
        <is>
          <t>pp</t>
        </is>
      </c>
      <c r="E35" t="n">
        <v>0.93</v>
      </c>
      <c r="F35" t="n">
        <v>-1.01</v>
      </c>
      <c r="G35" t="n">
        <v>2.88</v>
      </c>
    </row>
    <row r="36">
      <c r="A36" t="inlineStr">
        <is>
          <t>FX_REV</t>
        </is>
      </c>
      <c r="B36" t="inlineStr">
        <is>
          <t>2Q27</t>
        </is>
      </c>
      <c r="C36" t="inlineStr">
        <is>
          <t>Revenue FX contribution (pp y/y)</t>
        </is>
      </c>
      <c r="D36" t="inlineStr">
        <is>
          <t>pp</t>
        </is>
      </c>
      <c r="E36" t="n">
        <v>0.62</v>
      </c>
      <c r="F36" t="n">
        <v>-1.92</v>
      </c>
      <c r="G36" t="n">
        <v>3.16</v>
      </c>
    </row>
    <row r="37">
      <c r="A37" t="inlineStr">
        <is>
          <t>FX_ADR</t>
        </is>
      </c>
      <c r="B37" t="inlineStr">
        <is>
          <t>3Q26</t>
        </is>
      </c>
      <c r="C37" t="inlineStr">
        <is>
          <t>ADR FX contribution (pp y/y)</t>
        </is>
      </c>
      <c r="D37" t="inlineStr">
        <is>
          <t>pp</t>
        </is>
      </c>
      <c r="E37" t="n">
        <v>2.89</v>
      </c>
      <c r="F37" t="n">
        <v>2.89</v>
      </c>
      <c r="G37" t="n">
        <v>2.89</v>
      </c>
    </row>
    <row r="38">
      <c r="A38" t="inlineStr">
        <is>
          <t>FX_ADR</t>
        </is>
      </c>
      <c r="B38" t="inlineStr">
        <is>
          <t>4Q26</t>
        </is>
      </c>
      <c r="C38" t="inlineStr">
        <is>
          <t>ADR FX contribution (pp y/y)</t>
        </is>
      </c>
      <c r="D38" t="inlineStr">
        <is>
          <t>pp</t>
        </is>
      </c>
      <c r="E38" t="n">
        <v>0.93</v>
      </c>
      <c r="F38" t="n">
        <v>0.45</v>
      </c>
      <c r="G38" t="n">
        <v>1.4</v>
      </c>
    </row>
    <row r="39">
      <c r="A39" t="inlineStr">
        <is>
          <t>FX_ADR</t>
        </is>
      </c>
      <c r="B39" t="inlineStr">
        <is>
          <t>1Q27</t>
        </is>
      </c>
      <c r="C39" t="inlineStr">
        <is>
          <t>ADR FX contribution (pp y/y)</t>
        </is>
      </c>
      <c r="D39" t="inlineStr">
        <is>
          <t>pp</t>
        </is>
      </c>
      <c r="E39" t="n">
        <v>0.88</v>
      </c>
      <c r="F39" t="n">
        <v>-1.11</v>
      </c>
      <c r="G39" t="n">
        <v>2.87</v>
      </c>
    </row>
    <row r="40">
      <c r="A40" t="inlineStr">
        <is>
          <t>FX_ADR</t>
        </is>
      </c>
      <c r="B40" t="inlineStr">
        <is>
          <t>2Q27</t>
        </is>
      </c>
      <c r="C40" t="inlineStr">
        <is>
          <t>ADR FX contribution (pp y/y)</t>
        </is>
      </c>
      <c r="D40" t="inlineStr">
        <is>
          <t>pp</t>
        </is>
      </c>
      <c r="E40" t="n">
        <v>0.5600000000000001</v>
      </c>
      <c r="F40" t="n">
        <v>-2.05</v>
      </c>
      <c r="G40" t="n">
        <v>3.16</v>
      </c>
    </row>
    <row r="41">
      <c r="A41" t="inlineStr">
        <is>
          <t>STREET_NIGHTS</t>
        </is>
      </c>
      <c r="B41" t="inlineStr">
        <is>
          <t>3Q26</t>
        </is>
      </c>
      <c r="C41" t="inlineStr">
        <is>
          <t>Street nights (m)</t>
        </is>
      </c>
      <c r="D41" t="inlineStr">
        <is>
          <t>m</t>
        </is>
      </c>
      <c r="E41" t="n">
        <v>149</v>
      </c>
      <c r="F41" t="n">
        <v>149</v>
      </c>
      <c r="G41" t="n">
        <v>149</v>
      </c>
    </row>
    <row r="42">
      <c r="A42" t="inlineStr">
        <is>
          <t>STREET_NIGHTS</t>
        </is>
      </c>
      <c r="B42" t="inlineStr">
        <is>
          <t>4Q26</t>
        </is>
      </c>
      <c r="C42" t="inlineStr">
        <is>
          <t>Street nights (m)</t>
        </is>
      </c>
      <c r="D42" t="inlineStr">
        <is>
          <t>m</t>
        </is>
      </c>
      <c r="E42" t="n">
        <v>134</v>
      </c>
      <c r="F42" t="n">
        <v>134</v>
      </c>
      <c r="G42" t="n">
        <v>134</v>
      </c>
    </row>
    <row r="43">
      <c r="A43" t="inlineStr">
        <is>
          <t>STREET_ADR</t>
        </is>
      </c>
      <c r="B43" t="inlineStr">
        <is>
          <t>3Q26</t>
        </is>
      </c>
      <c r="C43" t="inlineStr">
        <is>
          <t>Street ADR ($)</t>
        </is>
      </c>
      <c r="D43" t="inlineStr">
        <is>
          <t>usd</t>
        </is>
      </c>
      <c r="E43" t="n">
        <v>177.06</v>
      </c>
      <c r="F43" t="n">
        <v>177.06</v>
      </c>
      <c r="G43" t="n">
        <v>177.06</v>
      </c>
    </row>
    <row r="44">
      <c r="A44" t="inlineStr">
        <is>
          <t>REV</t>
        </is>
      </c>
      <c r="B44" t="inlineStr">
        <is>
          <t>1Q23</t>
        </is>
      </c>
      <c r="C44" t="inlineStr">
        <is>
          <t>Revenue ($M)</t>
        </is>
      </c>
      <c r="D44" t="inlineStr">
        <is>
          <t>musd</t>
        </is>
      </c>
      <c r="E44" t="n">
        <v>1818</v>
      </c>
      <c r="F44" t="n">
        <v>1818</v>
      </c>
      <c r="G44" t="n">
        <v>1818</v>
      </c>
    </row>
    <row r="45">
      <c r="A45" t="inlineStr">
        <is>
          <t>REV</t>
        </is>
      </c>
      <c r="B45" t="inlineStr">
        <is>
          <t>2Q23</t>
        </is>
      </c>
      <c r="C45" t="inlineStr">
        <is>
          <t>Revenue ($M)</t>
        </is>
      </c>
      <c r="D45" t="inlineStr">
        <is>
          <t>musd</t>
        </is>
      </c>
      <c r="E45" t="n">
        <v>2484</v>
      </c>
      <c r="F45" t="n">
        <v>2484</v>
      </c>
      <c r="G45" t="n">
        <v>2484</v>
      </c>
    </row>
    <row r="46">
      <c r="A46" t="inlineStr">
        <is>
          <t>REV</t>
        </is>
      </c>
      <c r="B46" t="inlineStr">
        <is>
          <t>3Q23</t>
        </is>
      </c>
      <c r="C46" t="inlineStr">
        <is>
          <t>Revenue ($M)</t>
        </is>
      </c>
      <c r="D46" t="inlineStr">
        <is>
          <t>musd</t>
        </is>
      </c>
      <c r="E46" t="n">
        <v>3397</v>
      </c>
      <c r="F46" t="n">
        <v>3397</v>
      </c>
      <c r="G46" t="n">
        <v>3397</v>
      </c>
    </row>
    <row r="47">
      <c r="A47" t="inlineStr">
        <is>
          <t>REV</t>
        </is>
      </c>
      <c r="B47" t="inlineStr">
        <is>
          <t>4Q23</t>
        </is>
      </c>
      <c r="C47" t="inlineStr">
        <is>
          <t>Revenue ($M)</t>
        </is>
      </c>
      <c r="D47" t="inlineStr">
        <is>
          <t>musd</t>
        </is>
      </c>
      <c r="E47" t="n">
        <v>2218</v>
      </c>
      <c r="F47" t="n">
        <v>2218</v>
      </c>
      <c r="G47" t="n">
        <v>2218</v>
      </c>
    </row>
    <row r="48">
      <c r="A48" t="inlineStr">
        <is>
          <t>REV</t>
        </is>
      </c>
      <c r="B48" t="inlineStr">
        <is>
          <t>1Q24</t>
        </is>
      </c>
      <c r="C48" t="inlineStr">
        <is>
          <t>Revenue ($M)</t>
        </is>
      </c>
      <c r="D48" t="inlineStr">
        <is>
          <t>musd</t>
        </is>
      </c>
      <c r="E48" t="n">
        <v>2142</v>
      </c>
      <c r="F48" t="n">
        <v>2142</v>
      </c>
      <c r="G48" t="n">
        <v>2142</v>
      </c>
    </row>
    <row r="49">
      <c r="A49" t="inlineStr">
        <is>
          <t>REV</t>
        </is>
      </c>
      <c r="B49" t="inlineStr">
        <is>
          <t>2Q24</t>
        </is>
      </c>
      <c r="C49" t="inlineStr">
        <is>
          <t>Revenue ($M)</t>
        </is>
      </c>
      <c r="D49" t="inlineStr">
        <is>
          <t>musd</t>
        </is>
      </c>
      <c r="E49" t="n">
        <v>2748</v>
      </c>
      <c r="F49" t="n">
        <v>2748</v>
      </c>
      <c r="G49" t="n">
        <v>2748</v>
      </c>
    </row>
    <row r="50">
      <c r="A50" t="inlineStr">
        <is>
          <t>REV</t>
        </is>
      </c>
      <c r="B50" t="inlineStr">
        <is>
          <t>3Q24</t>
        </is>
      </c>
      <c r="C50" t="inlineStr">
        <is>
          <t>Revenue ($M)</t>
        </is>
      </c>
      <c r="D50" t="inlineStr">
        <is>
          <t>musd</t>
        </is>
      </c>
      <c r="E50" t="n">
        <v>3732</v>
      </c>
      <c r="F50" t="n">
        <v>3732</v>
      </c>
      <c r="G50" t="n">
        <v>3732</v>
      </c>
    </row>
    <row r="51">
      <c r="A51" t="inlineStr">
        <is>
          <t>REV</t>
        </is>
      </c>
      <c r="B51" t="inlineStr">
        <is>
          <t>4Q24</t>
        </is>
      </c>
      <c r="C51" t="inlineStr">
        <is>
          <t>Revenue ($M)</t>
        </is>
      </c>
      <c r="D51" t="inlineStr">
        <is>
          <t>musd</t>
        </is>
      </c>
      <c r="E51" t="n">
        <v>2480</v>
      </c>
      <c r="F51" t="n">
        <v>2480</v>
      </c>
      <c r="G51" t="n">
        <v>2480</v>
      </c>
    </row>
    <row r="52">
      <c r="A52" t="inlineStr">
        <is>
          <t>REV</t>
        </is>
      </c>
      <c r="B52" t="inlineStr">
        <is>
          <t>1Q25</t>
        </is>
      </c>
      <c r="C52" t="inlineStr">
        <is>
          <t>Revenue ($M)</t>
        </is>
      </c>
      <c r="D52" t="inlineStr">
        <is>
          <t>musd</t>
        </is>
      </c>
      <c r="E52" t="n">
        <v>2272</v>
      </c>
      <c r="F52" t="n">
        <v>2272</v>
      </c>
      <c r="G52" t="n">
        <v>2272</v>
      </c>
    </row>
    <row r="53">
      <c r="A53" t="inlineStr">
        <is>
          <t>REV</t>
        </is>
      </c>
      <c r="B53" t="inlineStr">
        <is>
          <t>2Q25</t>
        </is>
      </c>
      <c r="C53" t="inlineStr">
        <is>
          <t>Revenue ($M)</t>
        </is>
      </c>
      <c r="D53" t="inlineStr">
        <is>
          <t>musd</t>
        </is>
      </c>
      <c r="E53" t="n">
        <v>3096</v>
      </c>
      <c r="F53" t="n">
        <v>3096</v>
      </c>
      <c r="G53" t="n">
        <v>3096</v>
      </c>
    </row>
    <row r="54">
      <c r="A54" t="inlineStr">
        <is>
          <t>REV</t>
        </is>
      </c>
      <c r="B54" t="inlineStr">
        <is>
          <t>3Q25</t>
        </is>
      </c>
      <c r="C54" t="inlineStr">
        <is>
          <t>Revenue ($M)</t>
        </is>
      </c>
      <c r="D54" t="inlineStr">
        <is>
          <t>musd</t>
        </is>
      </c>
      <c r="E54" t="n">
        <v>4095</v>
      </c>
      <c r="F54" t="n">
        <v>4095</v>
      </c>
      <c r="G54" t="n">
        <v>4095</v>
      </c>
    </row>
    <row r="55">
      <c r="A55" t="inlineStr">
        <is>
          <t>REV</t>
        </is>
      </c>
      <c r="B55" t="inlineStr">
        <is>
          <t>4Q25</t>
        </is>
      </c>
      <c r="C55" t="inlineStr">
        <is>
          <t>Revenue ($M)</t>
        </is>
      </c>
      <c r="D55" t="inlineStr">
        <is>
          <t>musd</t>
        </is>
      </c>
      <c r="E55" t="n">
        <v>2778</v>
      </c>
      <c r="F55" t="n">
        <v>2778</v>
      </c>
      <c r="G55" t="n">
        <v>2778</v>
      </c>
    </row>
    <row r="56">
      <c r="A56" t="inlineStr">
        <is>
          <t>REV</t>
        </is>
      </c>
      <c r="B56" t="inlineStr">
        <is>
          <t>1Q26</t>
        </is>
      </c>
      <c r="C56" t="inlineStr">
        <is>
          <t>Revenue ($M)</t>
        </is>
      </c>
      <c r="D56" t="inlineStr">
        <is>
          <t>musd</t>
        </is>
      </c>
      <c r="E56" t="n">
        <v>2678</v>
      </c>
      <c r="F56" t="n">
        <v>2678</v>
      </c>
      <c r="G56" t="n">
        <v>2678</v>
      </c>
    </row>
    <row r="57">
      <c r="A57" t="inlineStr">
        <is>
          <t>REV</t>
        </is>
      </c>
      <c r="B57" t="inlineStr">
        <is>
          <t>2Q26</t>
        </is>
      </c>
      <c r="C57" t="inlineStr">
        <is>
          <t>Revenue ($M)</t>
        </is>
      </c>
      <c r="D57" t="inlineStr">
        <is>
          <t>musd</t>
        </is>
      </c>
      <c r="E57" t="n">
        <v>3608</v>
      </c>
      <c r="F57" t="n">
        <v>3608</v>
      </c>
      <c r="G57" t="n">
        <v>3608</v>
      </c>
    </row>
    <row r="58">
      <c r="A58" t="inlineStr">
        <is>
          <t>LAM_Q1</t>
        </is>
      </c>
      <c r="B58" t="inlineStr">
        <is>
          <t>ALL</t>
        </is>
      </c>
      <c r="C58" t="inlineStr">
        <is>
          <t>Kernel lambda, Q1 season (%)</t>
        </is>
      </c>
      <c r="D58" t="inlineStr">
        <is>
          <t>pct</t>
        </is>
      </c>
      <c r="E58" t="n">
        <v>12.66</v>
      </c>
      <c r="F58" t="n">
        <v>12.66</v>
      </c>
      <c r="G58" t="n">
        <v>12.66</v>
      </c>
    </row>
    <row r="59">
      <c r="A59" t="inlineStr">
        <is>
          <t>LAM_Q2</t>
        </is>
      </c>
      <c r="B59" t="inlineStr">
        <is>
          <t>ALL</t>
        </is>
      </c>
      <c r="C59" t="inlineStr">
        <is>
          <t>Kernel lambda, Q2 season (%)</t>
        </is>
      </c>
      <c r="D59" t="inlineStr">
        <is>
          <t>pct</t>
        </is>
      </c>
      <c r="E59" t="n">
        <v>13.71</v>
      </c>
      <c r="F59" t="n">
        <v>13.71</v>
      </c>
      <c r="G59" t="n">
        <v>13.71</v>
      </c>
    </row>
    <row r="60">
      <c r="A60" t="inlineStr">
        <is>
          <t>LAM_Q3</t>
        </is>
      </c>
      <c r="B60" t="inlineStr">
        <is>
          <t>ALL</t>
        </is>
      </c>
      <c r="C60" t="inlineStr">
        <is>
          <t>Kernel lambda, Q3 season (%)</t>
        </is>
      </c>
      <c r="D60" t="inlineStr">
        <is>
          <t>pct</t>
        </is>
      </c>
      <c r="E60" t="n">
        <v>17.24</v>
      </c>
      <c r="F60" t="n">
        <v>17.24</v>
      </c>
      <c r="G60" t="n">
        <v>17.24</v>
      </c>
    </row>
    <row r="61">
      <c r="A61" t="inlineStr">
        <is>
          <t>LAM_Q4</t>
        </is>
      </c>
      <c r="B61" t="inlineStr">
        <is>
          <t>ALL</t>
        </is>
      </c>
      <c r="C61" t="inlineStr">
        <is>
          <t>Kernel lambda, Q4 season (%)</t>
        </is>
      </c>
      <c r="D61" t="inlineStr">
        <is>
          <t>pct</t>
        </is>
      </c>
      <c r="E61" t="n">
        <v>12.03</v>
      </c>
      <c r="F61" t="n">
        <v>12.03</v>
      </c>
      <c r="G61" t="n">
        <v>12.03</v>
      </c>
    </row>
    <row r="62">
      <c r="A62" t="inlineStr">
        <is>
          <t>W1</t>
        </is>
      </c>
      <c r="B62" t="inlineStr">
        <is>
          <t>ALL</t>
        </is>
      </c>
      <c r="C62" t="inlineStr">
        <is>
          <t>Kernel weight, GBV[q-1]</t>
        </is>
      </c>
      <c r="D62" t="inlineStr">
        <is>
          <t>weight</t>
        </is>
      </c>
      <c r="E62" t="n">
        <v>0.6667</v>
      </c>
      <c r="F62" t="n">
        <v>0.6667</v>
      </c>
      <c r="G62" t="n">
        <v>0.6667</v>
      </c>
    </row>
    <row r="63">
      <c r="A63" t="inlineStr">
        <is>
          <t>W2</t>
        </is>
      </c>
      <c r="B63" t="inlineStr">
        <is>
          <t>ALL</t>
        </is>
      </c>
      <c r="C63" t="inlineStr">
        <is>
          <t>Kernel weight, GBV[q-2]</t>
        </is>
      </c>
      <c r="D63" t="inlineStr">
        <is>
          <t>weight</t>
        </is>
      </c>
      <c r="E63" t="n">
        <v>0.3333</v>
      </c>
      <c r="F63" t="n">
        <v>0.3333</v>
      </c>
      <c r="G63" t="n">
        <v>0.3333</v>
      </c>
    </row>
    <row r="64">
      <c r="A64" t="inlineStr">
        <is>
          <t>JW0</t>
        </is>
      </c>
      <c r="B64" t="inlineStr">
        <is>
          <t>ALL</t>
        </is>
      </c>
      <c r="C64" t="inlineStr">
        <is>
          <t>Joint-rule weight, GBV[t] (sensitivity only)</t>
        </is>
      </c>
      <c r="D64" t="inlineStr">
        <is>
          <t>weight</t>
        </is>
      </c>
      <c r="E64" t="n">
        <v>0.359</v>
      </c>
      <c r="F64" t="n">
        <v>0.359</v>
      </c>
      <c r="G64" t="n">
        <v>0.359</v>
      </c>
    </row>
    <row r="65">
      <c r="A65" t="inlineStr">
        <is>
          <t>JW1</t>
        </is>
      </c>
      <c r="B65" t="inlineStr">
        <is>
          <t>ALL</t>
        </is>
      </c>
      <c r="C65" t="inlineStr">
        <is>
          <t>Joint-rule weight, GBV[t-1] (sensitivity only)</t>
        </is>
      </c>
      <c r="D65" t="inlineStr">
        <is>
          <t>weight</t>
        </is>
      </c>
      <c r="E65" t="n">
        <v>0.4729</v>
      </c>
      <c r="F65" t="n">
        <v>0.4729</v>
      </c>
      <c r="G65" t="n">
        <v>0.4729</v>
      </c>
    </row>
    <row r="66">
      <c r="A66" t="inlineStr">
        <is>
          <t>JW2</t>
        </is>
      </c>
      <c r="B66" t="inlineStr">
        <is>
          <t>ALL</t>
        </is>
      </c>
      <c r="C66" t="inlineStr">
        <is>
          <t>Joint-rule weight, GBV[t-2] (sensitivity only)</t>
        </is>
      </c>
      <c r="D66" t="inlineStr">
        <is>
          <t>weight</t>
        </is>
      </c>
      <c r="E66" t="n">
        <v>0.1681</v>
      </c>
      <c r="F66" t="n">
        <v>0.1681</v>
      </c>
      <c r="G66" t="n">
        <v>0.1681</v>
      </c>
    </row>
    <row r="67">
      <c r="A67" t="inlineStr">
        <is>
          <t>JW3</t>
        </is>
      </c>
      <c r="B67" t="inlineStr">
        <is>
          <t>ALL</t>
        </is>
      </c>
      <c r="C67" t="inlineStr">
        <is>
          <t>Joint-rule weight, mean(GBV[t-3],GBV[t-4]) (sensitivity only)</t>
        </is>
      </c>
      <c r="D67" t="inlineStr">
        <is>
          <t>weight</t>
        </is>
      </c>
      <c r="E67" t="n">
        <v>0</v>
      </c>
      <c r="F67" t="n">
        <v>0</v>
      </c>
      <c r="G67" t="n">
        <v>0</v>
      </c>
    </row>
    <row r="68">
      <c r="A68" t="inlineStr">
        <is>
          <t>CUSH</t>
        </is>
      </c>
      <c r="B68" t="inlineStr">
        <is>
          <t>ALL</t>
        </is>
      </c>
      <c r="C68" t="inlineStr">
        <is>
          <t>Guide cushion, trailing-8 mean (pp)</t>
        </is>
      </c>
      <c r="D68" t="inlineStr">
        <is>
          <t>pctpt</t>
        </is>
      </c>
      <c r="E68" t="n">
        <v>1.857</v>
      </c>
      <c r="F68" t="n">
        <v>1.857</v>
      </c>
      <c r="G68" t="n">
        <v>1.857</v>
      </c>
    </row>
    <row r="69">
      <c r="A69" t="inlineStr">
        <is>
          <t>STREET_REV</t>
        </is>
      </c>
      <c r="B69" t="inlineStr">
        <is>
          <t>3Q26</t>
        </is>
      </c>
      <c r="C69" t="inlineStr">
        <is>
          <t>Street revenue ($M)</t>
        </is>
      </c>
      <c r="D69" t="inlineStr">
        <is>
          <t>musd</t>
        </is>
      </c>
      <c r="E69" t="n">
        <v>4744</v>
      </c>
      <c r="F69" t="n">
        <v>4744</v>
      </c>
      <c r="G69" t="n">
        <v>4744</v>
      </c>
    </row>
    <row r="70">
      <c r="A70" t="inlineStr">
        <is>
          <t>STREET_REV</t>
        </is>
      </c>
      <c r="B70" t="inlineStr">
        <is>
          <t>4Q26</t>
        </is>
      </c>
      <c r="C70" t="inlineStr">
        <is>
          <t>Street revenue ($M)</t>
        </is>
      </c>
      <c r="D70" t="inlineStr">
        <is>
          <t>musd</t>
        </is>
      </c>
      <c r="E70" t="n">
        <v>3161</v>
      </c>
      <c r="F70" t="n">
        <v>3161</v>
      </c>
      <c r="G70" t="n">
        <v>3161</v>
      </c>
    </row>
    <row r="71">
      <c r="A71" t="inlineStr">
        <is>
          <t>STREET_REV</t>
        </is>
      </c>
      <c r="B71" t="inlineStr">
        <is>
          <t>FY26</t>
        </is>
      </c>
      <c r="C71" t="inlineStr">
        <is>
          <t>Street revenue ($M)</t>
        </is>
      </c>
      <c r="D71" t="inlineStr">
        <is>
          <t>musd</t>
        </is>
      </c>
      <c r="E71" t="n">
        <v>14160</v>
      </c>
      <c r="F71" t="n">
        <v>14160</v>
      </c>
      <c r="G71" t="n">
        <v>14160</v>
      </c>
    </row>
    <row r="72">
      <c r="A72" t="inlineStr">
        <is>
          <t>STREET_REV</t>
        </is>
      </c>
      <c r="B72" t="inlineStr">
        <is>
          <t>FY27</t>
        </is>
      </c>
      <c r="C72" t="inlineStr">
        <is>
          <t>Street revenue ($M)</t>
        </is>
      </c>
      <c r="D72" t="inlineStr">
        <is>
          <t>musd</t>
        </is>
      </c>
      <c r="E72" t="n">
        <v>15798</v>
      </c>
      <c r="F72" t="n">
        <v>15798</v>
      </c>
      <c r="G72" t="n">
        <v>15798</v>
      </c>
    </row>
    <row r="73">
      <c r="A73" t="inlineStr">
        <is>
          <t>COR</t>
        </is>
      </c>
      <c r="B73" t="inlineStr">
        <is>
          <t>1Q23</t>
        </is>
      </c>
      <c r="C73" t="inlineStr">
        <is>
          <t>Cost of revenue, cash ($M)</t>
        </is>
      </c>
      <c r="D73" t="inlineStr">
        <is>
          <t>musd</t>
        </is>
      </c>
      <c r="E73" t="n">
        <v>428</v>
      </c>
      <c r="F73" t="n">
        <v>428</v>
      </c>
      <c r="G73" t="n">
        <v>428</v>
      </c>
    </row>
    <row r="74">
      <c r="A74" t="inlineStr">
        <is>
          <t>COR</t>
        </is>
      </c>
      <c r="B74" t="inlineStr">
        <is>
          <t>2Q23</t>
        </is>
      </c>
      <c r="C74" t="inlineStr">
        <is>
          <t>Cost of revenue, cash ($M)</t>
        </is>
      </c>
      <c r="D74" t="inlineStr">
        <is>
          <t>musd</t>
        </is>
      </c>
      <c r="E74" t="n">
        <v>432</v>
      </c>
      <c r="F74" t="n">
        <v>432</v>
      </c>
      <c r="G74" t="n">
        <v>432</v>
      </c>
    </row>
    <row r="75">
      <c r="A75" t="inlineStr">
        <is>
          <t>COR</t>
        </is>
      </c>
      <c r="B75" t="inlineStr">
        <is>
          <t>3Q23</t>
        </is>
      </c>
      <c r="C75" t="inlineStr">
        <is>
          <t>Cost of revenue, cash ($M)</t>
        </is>
      </c>
      <c r="D75" t="inlineStr">
        <is>
          <t>musd</t>
        </is>
      </c>
      <c r="E75" t="n">
        <v>459</v>
      </c>
      <c r="F75" t="n">
        <v>459</v>
      </c>
      <c r="G75" t="n">
        <v>459</v>
      </c>
    </row>
    <row r="76">
      <c r="A76" t="inlineStr">
        <is>
          <t>COR</t>
        </is>
      </c>
      <c r="B76" t="inlineStr">
        <is>
          <t>4Q23</t>
        </is>
      </c>
      <c r="C76" t="inlineStr">
        <is>
          <t>Cost of revenue, cash ($M)</t>
        </is>
      </c>
      <c r="D76" t="inlineStr">
        <is>
          <t>musd</t>
        </is>
      </c>
      <c r="E76" t="n">
        <v>384</v>
      </c>
      <c r="F76" t="n">
        <v>384</v>
      </c>
      <c r="G76" t="n">
        <v>384</v>
      </c>
    </row>
    <row r="77">
      <c r="A77" t="inlineStr">
        <is>
          <t>COR</t>
        </is>
      </c>
      <c r="B77" t="inlineStr">
        <is>
          <t>1Q24</t>
        </is>
      </c>
      <c r="C77" t="inlineStr">
        <is>
          <t>Cost of revenue, cash ($M)</t>
        </is>
      </c>
      <c r="D77" t="inlineStr">
        <is>
          <t>musd</t>
        </is>
      </c>
      <c r="E77" t="n">
        <v>480</v>
      </c>
      <c r="F77" t="n">
        <v>480</v>
      </c>
      <c r="G77" t="n">
        <v>480</v>
      </c>
    </row>
    <row r="78">
      <c r="A78" t="inlineStr">
        <is>
          <t>COR</t>
        </is>
      </c>
      <c r="B78" t="inlineStr">
        <is>
          <t>2Q24</t>
        </is>
      </c>
      <c r="C78" t="inlineStr">
        <is>
          <t>Cost of revenue, cash ($M)</t>
        </is>
      </c>
      <c r="D78" t="inlineStr">
        <is>
          <t>musd</t>
        </is>
      </c>
      <c r="E78" t="n">
        <v>506</v>
      </c>
      <c r="F78" t="n">
        <v>506</v>
      </c>
      <c r="G78" t="n">
        <v>506</v>
      </c>
    </row>
    <row r="79">
      <c r="A79" t="inlineStr">
        <is>
          <t>COR</t>
        </is>
      </c>
      <c r="B79" t="inlineStr">
        <is>
          <t>3Q24</t>
        </is>
      </c>
      <c r="C79" t="inlineStr">
        <is>
          <t>Cost of revenue, cash ($M)</t>
        </is>
      </c>
      <c r="D79" t="inlineStr">
        <is>
          <t>musd</t>
        </is>
      </c>
      <c r="E79" t="n">
        <v>465</v>
      </c>
      <c r="F79" t="n">
        <v>465</v>
      </c>
      <c r="G79" t="n">
        <v>465</v>
      </c>
    </row>
    <row r="80">
      <c r="A80" t="inlineStr">
        <is>
          <t>COR</t>
        </is>
      </c>
      <c r="B80" t="inlineStr">
        <is>
          <t>4Q24</t>
        </is>
      </c>
      <c r="C80" t="inlineStr">
        <is>
          <t>Cost of revenue, cash ($M)</t>
        </is>
      </c>
      <c r="D80" t="inlineStr">
        <is>
          <t>musd</t>
        </is>
      </c>
      <c r="E80" t="n">
        <v>427</v>
      </c>
      <c r="F80" t="n">
        <v>427</v>
      </c>
      <c r="G80" t="n">
        <v>427</v>
      </c>
    </row>
    <row r="81">
      <c r="A81" t="inlineStr">
        <is>
          <t>COR</t>
        </is>
      </c>
      <c r="B81" t="inlineStr">
        <is>
          <t>1Q25</t>
        </is>
      </c>
      <c r="C81" t="inlineStr">
        <is>
          <t>Cost of revenue, cash ($M)</t>
        </is>
      </c>
      <c r="D81" t="inlineStr">
        <is>
          <t>musd</t>
        </is>
      </c>
      <c r="E81" t="n">
        <v>506</v>
      </c>
      <c r="F81" t="n">
        <v>506</v>
      </c>
      <c r="G81" t="n">
        <v>506</v>
      </c>
    </row>
    <row r="82">
      <c r="A82" t="inlineStr">
        <is>
          <t>COR</t>
        </is>
      </c>
      <c r="B82" t="inlineStr">
        <is>
          <t>2Q25</t>
        </is>
      </c>
      <c r="C82" t="inlineStr">
        <is>
          <t>Cost of revenue, cash ($M)</t>
        </is>
      </c>
      <c r="D82" t="inlineStr">
        <is>
          <t>musd</t>
        </is>
      </c>
      <c r="E82" t="n">
        <v>544</v>
      </c>
      <c r="F82" t="n">
        <v>544</v>
      </c>
      <c r="G82" t="n">
        <v>544</v>
      </c>
    </row>
    <row r="83">
      <c r="A83" t="inlineStr">
        <is>
          <t>COR</t>
        </is>
      </c>
      <c r="B83" t="inlineStr">
        <is>
          <t>3Q25</t>
        </is>
      </c>
      <c r="C83" t="inlineStr">
        <is>
          <t>Cost of revenue, cash ($M)</t>
        </is>
      </c>
      <c r="D83" t="inlineStr">
        <is>
          <t>musd</t>
        </is>
      </c>
      <c r="E83" t="n">
        <v>549</v>
      </c>
      <c r="F83" t="n">
        <v>549</v>
      </c>
      <c r="G83" t="n">
        <v>549</v>
      </c>
    </row>
    <row r="84">
      <c r="A84" t="inlineStr">
        <is>
          <t>COR</t>
        </is>
      </c>
      <c r="B84" t="inlineStr">
        <is>
          <t>4Q25</t>
        </is>
      </c>
      <c r="C84" t="inlineStr">
        <is>
          <t>Cost of revenue, cash ($M)</t>
        </is>
      </c>
      <c r="D84" t="inlineStr">
        <is>
          <t>musd</t>
        </is>
      </c>
      <c r="E84" t="n">
        <v>487</v>
      </c>
      <c r="F84" t="n">
        <v>487</v>
      </c>
      <c r="G84" t="n">
        <v>487</v>
      </c>
    </row>
    <row r="85">
      <c r="A85" t="inlineStr">
        <is>
          <t>COR</t>
        </is>
      </c>
      <c r="B85" t="inlineStr">
        <is>
          <t>1Q26</t>
        </is>
      </c>
      <c r="C85" t="inlineStr">
        <is>
          <t>Cost of revenue, cash ($M)</t>
        </is>
      </c>
      <c r="D85" t="inlineStr">
        <is>
          <t>musd</t>
        </is>
      </c>
      <c r="E85" t="n">
        <v>581</v>
      </c>
      <c r="F85" t="n">
        <v>581</v>
      </c>
      <c r="G85" t="n">
        <v>581</v>
      </c>
    </row>
    <row r="86">
      <c r="A86" t="inlineStr">
        <is>
          <t>COR</t>
        </is>
      </c>
      <c r="B86" t="inlineStr">
        <is>
          <t>2Q26</t>
        </is>
      </c>
      <c r="C86" t="inlineStr">
        <is>
          <t>Cost of revenue, cash ($M)</t>
        </is>
      </c>
      <c r="D86" t="inlineStr">
        <is>
          <t>musd</t>
        </is>
      </c>
      <c r="E86" t="n">
        <v>633</v>
      </c>
      <c r="F86" t="n">
        <v>633</v>
      </c>
      <c r="G86" t="n">
        <v>633</v>
      </c>
    </row>
    <row r="87">
      <c r="A87" t="inlineStr">
        <is>
          <t>OPS</t>
        </is>
      </c>
      <c r="B87" t="inlineStr">
        <is>
          <t>1Q23</t>
        </is>
      </c>
      <c r="C87" t="inlineStr">
        <is>
          <t>Operations &amp; support, cash ($M)</t>
        </is>
      </c>
      <c r="D87" t="inlineStr">
        <is>
          <t>musd</t>
        </is>
      </c>
      <c r="E87" t="n">
        <v>267</v>
      </c>
      <c r="F87" t="n">
        <v>267</v>
      </c>
      <c r="G87" t="n">
        <v>267</v>
      </c>
    </row>
    <row r="88">
      <c r="A88" t="inlineStr">
        <is>
          <t>OPS</t>
        </is>
      </c>
      <c r="B88" t="inlineStr">
        <is>
          <t>2Q23</t>
        </is>
      </c>
      <c r="C88" t="inlineStr">
        <is>
          <t>Operations &amp; support, cash ($M)</t>
        </is>
      </c>
      <c r="D88" t="inlineStr">
        <is>
          <t>musd</t>
        </is>
      </c>
      <c r="E88" t="n">
        <v>298</v>
      </c>
      <c r="F88" t="n">
        <v>298</v>
      </c>
      <c r="G88" t="n">
        <v>298</v>
      </c>
    </row>
    <row r="89">
      <c r="A89" t="inlineStr">
        <is>
          <t>OPS</t>
        </is>
      </c>
      <c r="B89" t="inlineStr">
        <is>
          <t>3Q23</t>
        </is>
      </c>
      <c r="C89" t="inlineStr">
        <is>
          <t>Operations &amp; support, cash ($M)</t>
        </is>
      </c>
      <c r="D89" t="inlineStr">
        <is>
          <t>musd</t>
        </is>
      </c>
      <c r="E89" t="n">
        <v>299</v>
      </c>
      <c r="F89" t="n">
        <v>299</v>
      </c>
      <c r="G89" t="n">
        <v>299</v>
      </c>
    </row>
    <row r="90">
      <c r="A90" t="inlineStr">
        <is>
          <t>OPS</t>
        </is>
      </c>
      <c r="B90" t="inlineStr">
        <is>
          <t>4Q23</t>
        </is>
      </c>
      <c r="C90" t="inlineStr">
        <is>
          <t>Operations &amp; support, cash ($M)</t>
        </is>
      </c>
      <c r="D90" t="inlineStr">
        <is>
          <t>musd</t>
        </is>
      </c>
      <c r="E90" t="n">
        <v>254</v>
      </c>
      <c r="F90" t="n">
        <v>254</v>
      </c>
      <c r="G90" t="n">
        <v>254</v>
      </c>
    </row>
    <row r="91">
      <c r="A91" t="inlineStr">
        <is>
          <t>OPS</t>
        </is>
      </c>
      <c r="B91" t="inlineStr">
        <is>
          <t>1Q24</t>
        </is>
      </c>
      <c r="C91" t="inlineStr">
        <is>
          <t>Operations &amp; support, cash ($M)</t>
        </is>
      </c>
      <c r="D91" t="inlineStr">
        <is>
          <t>musd</t>
        </is>
      </c>
      <c r="E91" t="n">
        <v>266</v>
      </c>
      <c r="F91" t="n">
        <v>266</v>
      </c>
      <c r="G91" t="n">
        <v>266</v>
      </c>
    </row>
    <row r="92">
      <c r="A92" t="inlineStr">
        <is>
          <t>OPS</t>
        </is>
      </c>
      <c r="B92" t="inlineStr">
        <is>
          <t>2Q24</t>
        </is>
      </c>
      <c r="C92" t="inlineStr">
        <is>
          <t>Operations &amp; support, cash ($M)</t>
        </is>
      </c>
      <c r="D92" t="inlineStr">
        <is>
          <t>musd</t>
        </is>
      </c>
      <c r="E92" t="n">
        <v>314</v>
      </c>
      <c r="F92" t="n">
        <v>314</v>
      </c>
      <c r="G92" t="n">
        <v>314</v>
      </c>
    </row>
    <row r="93">
      <c r="A93" t="inlineStr">
        <is>
          <t>OPS</t>
        </is>
      </c>
      <c r="B93" t="inlineStr">
        <is>
          <t>3Q24</t>
        </is>
      </c>
      <c r="C93" t="inlineStr">
        <is>
          <t>Operations &amp; support, cash ($M)</t>
        </is>
      </c>
      <c r="D93" t="inlineStr">
        <is>
          <t>musd</t>
        </is>
      </c>
      <c r="E93" t="n">
        <v>347</v>
      </c>
      <c r="F93" t="n">
        <v>347</v>
      </c>
      <c r="G93" t="n">
        <v>347</v>
      </c>
    </row>
    <row r="94">
      <c r="A94" t="inlineStr">
        <is>
          <t>OPS</t>
        </is>
      </c>
      <c r="B94" t="inlineStr">
        <is>
          <t>4Q24</t>
        </is>
      </c>
      <c r="C94" t="inlineStr">
        <is>
          <t>Operations &amp; support, cash ($M)</t>
        </is>
      </c>
      <c r="D94" t="inlineStr">
        <is>
          <t>musd</t>
        </is>
      </c>
      <c r="E94" t="n">
        <v>265</v>
      </c>
      <c r="F94" t="n">
        <v>265</v>
      </c>
      <c r="G94" t="n">
        <v>265</v>
      </c>
    </row>
    <row r="95">
      <c r="A95" t="inlineStr">
        <is>
          <t>OPS</t>
        </is>
      </c>
      <c r="B95" t="inlineStr">
        <is>
          <t>1Q25</t>
        </is>
      </c>
      <c r="C95" t="inlineStr">
        <is>
          <t>Operations &amp; support, cash ($M)</t>
        </is>
      </c>
      <c r="D95" t="inlineStr">
        <is>
          <t>musd</t>
        </is>
      </c>
      <c r="E95" t="n">
        <v>282</v>
      </c>
      <c r="F95" t="n">
        <v>282</v>
      </c>
      <c r="G95" t="n">
        <v>282</v>
      </c>
    </row>
    <row r="96">
      <c r="A96" t="inlineStr">
        <is>
          <t>OPS</t>
        </is>
      </c>
      <c r="B96" t="inlineStr">
        <is>
          <t>2Q25</t>
        </is>
      </c>
      <c r="C96" t="inlineStr">
        <is>
          <t>Operations &amp; support, cash ($M)</t>
        </is>
      </c>
      <c r="D96" t="inlineStr">
        <is>
          <t>musd</t>
        </is>
      </c>
      <c r="E96" t="n">
        <v>309</v>
      </c>
      <c r="F96" t="n">
        <v>309</v>
      </c>
      <c r="G96" t="n">
        <v>309</v>
      </c>
    </row>
    <row r="97">
      <c r="A97" t="inlineStr">
        <is>
          <t>OPS</t>
        </is>
      </c>
      <c r="B97" t="inlineStr">
        <is>
          <t>3Q25</t>
        </is>
      </c>
      <c r="C97" t="inlineStr">
        <is>
          <t>Operations &amp; support, cash ($M)</t>
        </is>
      </c>
      <c r="D97" t="inlineStr">
        <is>
          <t>musd</t>
        </is>
      </c>
      <c r="E97" t="n">
        <v>343</v>
      </c>
      <c r="F97" t="n">
        <v>343</v>
      </c>
      <c r="G97" t="n">
        <v>343</v>
      </c>
    </row>
    <row r="98">
      <c r="A98" t="inlineStr">
        <is>
          <t>OPS</t>
        </is>
      </c>
      <c r="B98" t="inlineStr">
        <is>
          <t>4Q25</t>
        </is>
      </c>
      <c r="C98" t="inlineStr">
        <is>
          <t>Operations &amp; support, cash ($M)</t>
        </is>
      </c>
      <c r="D98" t="inlineStr">
        <is>
          <t>musd</t>
        </is>
      </c>
      <c r="E98" t="n">
        <v>303</v>
      </c>
      <c r="F98" t="n">
        <v>303</v>
      </c>
      <c r="G98" t="n">
        <v>303</v>
      </c>
    </row>
    <row r="99">
      <c r="A99" t="inlineStr">
        <is>
          <t>OPS</t>
        </is>
      </c>
      <c r="B99" t="inlineStr">
        <is>
          <t>1Q26</t>
        </is>
      </c>
      <c r="C99" t="inlineStr">
        <is>
          <t>Operations &amp; support, cash ($M)</t>
        </is>
      </c>
      <c r="D99" t="inlineStr">
        <is>
          <t>musd</t>
        </is>
      </c>
      <c r="E99" t="n">
        <v>301</v>
      </c>
      <c r="F99" t="n">
        <v>301</v>
      </c>
      <c r="G99" t="n">
        <v>301</v>
      </c>
    </row>
    <row r="100">
      <c r="A100" t="inlineStr">
        <is>
          <t>OPS</t>
        </is>
      </c>
      <c r="B100" t="inlineStr">
        <is>
          <t>2Q26</t>
        </is>
      </c>
      <c r="C100" t="inlineStr">
        <is>
          <t>Operations &amp; support, cash ($M)</t>
        </is>
      </c>
      <c r="D100" t="inlineStr">
        <is>
          <t>musd</t>
        </is>
      </c>
      <c r="E100" t="n">
        <v>323</v>
      </c>
      <c r="F100" t="n">
        <v>323</v>
      </c>
      <c r="G100" t="n">
        <v>323</v>
      </c>
    </row>
    <row r="101">
      <c r="A101" t="inlineStr">
        <is>
          <t>PD</t>
        </is>
      </c>
      <c r="B101" t="inlineStr">
        <is>
          <t>1Q23</t>
        </is>
      </c>
      <c r="C101" t="inlineStr">
        <is>
          <t>Product development, cash ($M)</t>
        </is>
      </c>
      <c r="D101" t="inlineStr">
        <is>
          <t>musd</t>
        </is>
      </c>
      <c r="E101" t="n">
        <v>271</v>
      </c>
      <c r="F101" t="n">
        <v>271</v>
      </c>
      <c r="G101" t="n">
        <v>271</v>
      </c>
    </row>
    <row r="102">
      <c r="A102" t="inlineStr">
        <is>
          <t>PD</t>
        </is>
      </c>
      <c r="B102" t="inlineStr">
        <is>
          <t>2Q23</t>
        </is>
      </c>
      <c r="C102" t="inlineStr">
        <is>
          <t>Product development, cash ($M)</t>
        </is>
      </c>
      <c r="D102" t="inlineStr">
        <is>
          <t>musd</t>
        </is>
      </c>
      <c r="E102" t="n">
        <v>260</v>
      </c>
      <c r="F102" t="n">
        <v>260</v>
      </c>
      <c r="G102" t="n">
        <v>260</v>
      </c>
    </row>
    <row r="103">
      <c r="A103" t="inlineStr">
        <is>
          <t>PD</t>
        </is>
      </c>
      <c r="B103" t="inlineStr">
        <is>
          <t>3Q23</t>
        </is>
      </c>
      <c r="C103" t="inlineStr">
        <is>
          <t>Product development, cash ($M)</t>
        </is>
      </c>
      <c r="D103" t="inlineStr">
        <is>
          <t>musd</t>
        </is>
      </c>
      <c r="E103" t="n">
        <v>244</v>
      </c>
      <c r="F103" t="n">
        <v>244</v>
      </c>
      <c r="G103" t="n">
        <v>244</v>
      </c>
    </row>
    <row r="104">
      <c r="A104" t="inlineStr">
        <is>
          <t>PD</t>
        </is>
      </c>
      <c r="B104" t="inlineStr">
        <is>
          <t>4Q23</t>
        </is>
      </c>
      <c r="C104" t="inlineStr">
        <is>
          <t>Product development, cash ($M)</t>
        </is>
      </c>
      <c r="D104" t="inlineStr">
        <is>
          <t>musd</t>
        </is>
      </c>
      <c r="E104" t="n">
        <v>253</v>
      </c>
      <c r="F104" t="n">
        <v>253</v>
      </c>
      <c r="G104" t="n">
        <v>253</v>
      </c>
    </row>
    <row r="105">
      <c r="A105" t="inlineStr">
        <is>
          <t>PD</t>
        </is>
      </c>
      <c r="B105" t="inlineStr">
        <is>
          <t>1Q24</t>
        </is>
      </c>
      <c r="C105" t="inlineStr">
        <is>
          <t>Product development, cash ($M)</t>
        </is>
      </c>
      <c r="D105" t="inlineStr">
        <is>
          <t>musd</t>
        </is>
      </c>
      <c r="E105" t="n">
        <v>290</v>
      </c>
      <c r="F105" t="n">
        <v>290</v>
      </c>
      <c r="G105" t="n">
        <v>290</v>
      </c>
    </row>
    <row r="106">
      <c r="A106" t="inlineStr">
        <is>
          <t>PD</t>
        </is>
      </c>
      <c r="B106" t="inlineStr">
        <is>
          <t>2Q24</t>
        </is>
      </c>
      <c r="C106" t="inlineStr">
        <is>
          <t>Product development, cash ($M)</t>
        </is>
      </c>
      <c r="D106" t="inlineStr">
        <is>
          <t>musd</t>
        </is>
      </c>
      <c r="E106" t="n">
        <v>280</v>
      </c>
      <c r="F106" t="n">
        <v>280</v>
      </c>
      <c r="G106" t="n">
        <v>280</v>
      </c>
    </row>
    <row r="107">
      <c r="A107" t="inlineStr">
        <is>
          <t>PD</t>
        </is>
      </c>
      <c r="B107" t="inlineStr">
        <is>
          <t>3Q24</t>
        </is>
      </c>
      <c r="C107" t="inlineStr">
        <is>
          <t>Product development, cash ($M)</t>
        </is>
      </c>
      <c r="D107" t="inlineStr">
        <is>
          <t>musd</t>
        </is>
      </c>
      <c r="E107" t="n">
        <v>294</v>
      </c>
      <c r="F107" t="n">
        <v>294</v>
      </c>
      <c r="G107" t="n">
        <v>294</v>
      </c>
    </row>
    <row r="108">
      <c r="A108" t="inlineStr">
        <is>
          <t>PD</t>
        </is>
      </c>
      <c r="B108" t="inlineStr">
        <is>
          <t>4Q24</t>
        </is>
      </c>
      <c r="C108" t="inlineStr">
        <is>
          <t>Product development, cash ($M)</t>
        </is>
      </c>
      <c r="D108" t="inlineStr">
        <is>
          <t>musd</t>
        </is>
      </c>
      <c r="E108" t="n">
        <v>306</v>
      </c>
      <c r="F108" t="n">
        <v>306</v>
      </c>
      <c r="G108" t="n">
        <v>306</v>
      </c>
    </row>
    <row r="109">
      <c r="A109" t="inlineStr">
        <is>
          <t>PD</t>
        </is>
      </c>
      <c r="B109" t="inlineStr">
        <is>
          <t>1Q25</t>
        </is>
      </c>
      <c r="C109" t="inlineStr">
        <is>
          <t>Product development, cash ($M)</t>
        </is>
      </c>
      <c r="D109" t="inlineStr">
        <is>
          <t>musd</t>
        </is>
      </c>
      <c r="E109" t="n">
        <v>338</v>
      </c>
      <c r="F109" t="n">
        <v>338</v>
      </c>
      <c r="G109" t="n">
        <v>338</v>
      </c>
    </row>
    <row r="110">
      <c r="A110" t="inlineStr">
        <is>
          <t>PD</t>
        </is>
      </c>
      <c r="B110" t="inlineStr">
        <is>
          <t>2Q25</t>
        </is>
      </c>
      <c r="C110" t="inlineStr">
        <is>
          <t>Product development, cash ($M)</t>
        </is>
      </c>
      <c r="D110" t="inlineStr">
        <is>
          <t>musd</t>
        </is>
      </c>
      <c r="E110" t="n">
        <v>331</v>
      </c>
      <c r="F110" t="n">
        <v>331</v>
      </c>
      <c r="G110" t="n">
        <v>331</v>
      </c>
    </row>
    <row r="111">
      <c r="A111" t="inlineStr">
        <is>
          <t>PD</t>
        </is>
      </c>
      <c r="B111" t="inlineStr">
        <is>
          <t>3Q25</t>
        </is>
      </c>
      <c r="C111" t="inlineStr">
        <is>
          <t>Product development, cash ($M)</t>
        </is>
      </c>
      <c r="D111" t="inlineStr">
        <is>
          <t>musd</t>
        </is>
      </c>
      <c r="E111" t="n">
        <v>333</v>
      </c>
      <c r="F111" t="n">
        <v>333</v>
      </c>
      <c r="G111" t="n">
        <v>333</v>
      </c>
    </row>
    <row r="112">
      <c r="A112" t="inlineStr">
        <is>
          <t>PD</t>
        </is>
      </c>
      <c r="B112" t="inlineStr">
        <is>
          <t>4Q25</t>
        </is>
      </c>
      <c r="C112" t="inlineStr">
        <is>
          <t>Product development, cash ($M)</t>
        </is>
      </c>
      <c r="D112" t="inlineStr">
        <is>
          <t>musd</t>
        </is>
      </c>
      <c r="E112" t="n">
        <v>335</v>
      </c>
      <c r="F112" t="n">
        <v>335</v>
      </c>
      <c r="G112" t="n">
        <v>335</v>
      </c>
    </row>
    <row r="113">
      <c r="A113" t="inlineStr">
        <is>
          <t>PD</t>
        </is>
      </c>
      <c r="B113" t="inlineStr">
        <is>
          <t>1Q26</t>
        </is>
      </c>
      <c r="C113" t="inlineStr">
        <is>
          <t>Product development, cash ($M)</t>
        </is>
      </c>
      <c r="D113" t="inlineStr">
        <is>
          <t>musd</t>
        </is>
      </c>
      <c r="E113" t="n">
        <v>375</v>
      </c>
      <c r="F113" t="n">
        <v>375</v>
      </c>
      <c r="G113" t="n">
        <v>375</v>
      </c>
    </row>
    <row r="114">
      <c r="A114" t="inlineStr">
        <is>
          <t>PD</t>
        </is>
      </c>
      <c r="B114" t="inlineStr">
        <is>
          <t>2Q26</t>
        </is>
      </c>
      <c r="C114" t="inlineStr">
        <is>
          <t>Product development, cash ($M)</t>
        </is>
      </c>
      <c r="D114" t="inlineStr">
        <is>
          <t>musd</t>
        </is>
      </c>
      <c r="E114" t="n">
        <v>374</v>
      </c>
      <c r="F114" t="n">
        <v>374</v>
      </c>
      <c r="G114" t="n">
        <v>374</v>
      </c>
    </row>
    <row r="115">
      <c r="A115" t="inlineStr">
        <is>
          <t>GA</t>
        </is>
      </c>
      <c r="B115" t="inlineStr">
        <is>
          <t>1Q23</t>
        </is>
      </c>
      <c r="C115" t="inlineStr">
        <is>
          <t>G&amp;A ex lodging reserve, cash ($M)</t>
        </is>
      </c>
      <c r="D115" t="inlineStr">
        <is>
          <t>musd</t>
        </is>
      </c>
      <c r="E115" t="n">
        <v>191</v>
      </c>
      <c r="F115" t="n">
        <v>191</v>
      </c>
      <c r="G115" t="n">
        <v>191</v>
      </c>
    </row>
    <row r="116">
      <c r="A116" t="inlineStr">
        <is>
          <t>GA</t>
        </is>
      </c>
      <c r="B116" t="inlineStr">
        <is>
          <t>2Q23</t>
        </is>
      </c>
      <c r="C116" t="inlineStr">
        <is>
          <t>G&amp;A ex lodging reserve, cash ($M)</t>
        </is>
      </c>
      <c r="D116" t="inlineStr">
        <is>
          <t>musd</t>
        </is>
      </c>
      <c r="E116" t="n">
        <v>219</v>
      </c>
      <c r="F116" t="n">
        <v>219</v>
      </c>
      <c r="G116" t="n">
        <v>219</v>
      </c>
    </row>
    <row r="117">
      <c r="A117" t="inlineStr">
        <is>
          <t>GA</t>
        </is>
      </c>
      <c r="B117" t="inlineStr">
        <is>
          <t>3Q23</t>
        </is>
      </c>
      <c r="C117" t="inlineStr">
        <is>
          <t>G&amp;A ex lodging reserve, cash ($M)</t>
        </is>
      </c>
      <c r="D117" t="inlineStr">
        <is>
          <t>musd</t>
        </is>
      </c>
      <c r="E117" t="n">
        <v>202</v>
      </c>
      <c r="F117" t="n">
        <v>202</v>
      </c>
      <c r="G117" t="n">
        <v>202</v>
      </c>
    </row>
    <row r="118">
      <c r="A118" t="inlineStr">
        <is>
          <t>GA</t>
        </is>
      </c>
      <c r="B118" t="inlineStr">
        <is>
          <t>4Q23</t>
        </is>
      </c>
      <c r="C118" t="inlineStr">
        <is>
          <t>G&amp;A ex lodging reserve, cash ($M)</t>
        </is>
      </c>
      <c r="D118" t="inlineStr">
        <is>
          <t>musd</t>
        </is>
      </c>
      <c r="E118" t="n">
        <v>211</v>
      </c>
      <c r="F118" t="n">
        <v>211</v>
      </c>
      <c r="G118" t="n">
        <v>211</v>
      </c>
    </row>
    <row r="119">
      <c r="A119" t="inlineStr">
        <is>
          <t>GA</t>
        </is>
      </c>
      <c r="B119" t="inlineStr">
        <is>
          <t>1Q24</t>
        </is>
      </c>
      <c r="C119" t="inlineStr">
        <is>
          <t>G&amp;A ex lodging reserve, cash ($M)</t>
        </is>
      </c>
      <c r="D119" t="inlineStr">
        <is>
          <t>musd</t>
        </is>
      </c>
      <c r="E119" t="n">
        <v>223</v>
      </c>
      <c r="F119" t="n">
        <v>223</v>
      </c>
      <c r="G119" t="n">
        <v>223</v>
      </c>
    </row>
    <row r="120">
      <c r="A120" t="inlineStr">
        <is>
          <t>GA</t>
        </is>
      </c>
      <c r="B120" t="inlineStr">
        <is>
          <t>2Q24</t>
        </is>
      </c>
      <c r="C120" t="inlineStr">
        <is>
          <t>G&amp;A ex lodging reserve, cash ($M)</t>
        </is>
      </c>
      <c r="D120" t="inlineStr">
        <is>
          <t>musd</t>
        </is>
      </c>
      <c r="E120" t="n">
        <v>242</v>
      </c>
      <c r="F120" t="n">
        <v>242</v>
      </c>
      <c r="G120" t="n">
        <v>242</v>
      </c>
    </row>
    <row r="121">
      <c r="A121" t="inlineStr">
        <is>
          <t>GA</t>
        </is>
      </c>
      <c r="B121" t="inlineStr">
        <is>
          <t>3Q24</t>
        </is>
      </c>
      <c r="C121" t="inlineStr">
        <is>
          <t>G&amp;A ex lodging reserve, cash ($M)</t>
        </is>
      </c>
      <c r="D121" t="inlineStr">
        <is>
          <t>musd</t>
        </is>
      </c>
      <c r="E121" t="n">
        <v>210</v>
      </c>
      <c r="F121" t="n">
        <v>210</v>
      </c>
      <c r="G121" t="n">
        <v>210</v>
      </c>
    </row>
    <row r="122">
      <c r="A122" t="inlineStr">
        <is>
          <t>GA</t>
        </is>
      </c>
      <c r="B122" t="inlineStr">
        <is>
          <t>4Q24</t>
        </is>
      </c>
      <c r="C122" t="inlineStr">
        <is>
          <t>G&amp;A ex lodging reserve, cash ($M)</t>
        </is>
      </c>
      <c r="D122" t="inlineStr">
        <is>
          <t>musd</t>
        </is>
      </c>
      <c r="E122" t="n">
        <v>226</v>
      </c>
      <c r="F122" t="n">
        <v>226</v>
      </c>
      <c r="G122" t="n">
        <v>226</v>
      </c>
    </row>
    <row r="123">
      <c r="A123" t="inlineStr">
        <is>
          <t>GA</t>
        </is>
      </c>
      <c r="B123" t="inlineStr">
        <is>
          <t>1Q25</t>
        </is>
      </c>
      <c r="C123" t="inlineStr">
        <is>
          <t>G&amp;A ex lodging reserve, cash ($M)</t>
        </is>
      </c>
      <c r="D123" t="inlineStr">
        <is>
          <t>musd</t>
        </is>
      </c>
      <c r="E123" t="n">
        <v>235</v>
      </c>
      <c r="F123" t="n">
        <v>235</v>
      </c>
      <c r="G123" t="n">
        <v>235</v>
      </c>
    </row>
    <row r="124">
      <c r="A124" t="inlineStr">
        <is>
          <t>GA</t>
        </is>
      </c>
      <c r="B124" t="inlineStr">
        <is>
          <t>2Q25</t>
        </is>
      </c>
      <c r="C124" t="inlineStr">
        <is>
          <t>G&amp;A ex lodging reserve, cash ($M)</t>
        </is>
      </c>
      <c r="D124" t="inlineStr">
        <is>
          <t>musd</t>
        </is>
      </c>
      <c r="E124" t="n">
        <v>244</v>
      </c>
      <c r="F124" t="n">
        <v>244</v>
      </c>
      <c r="G124" t="n">
        <v>244</v>
      </c>
    </row>
    <row r="125">
      <c r="A125" t="inlineStr">
        <is>
          <t>GA</t>
        </is>
      </c>
      <c r="B125" t="inlineStr">
        <is>
          <t>3Q25</t>
        </is>
      </c>
      <c r="C125" t="inlineStr">
        <is>
          <t>G&amp;A ex lodging reserve, cash ($M)</t>
        </is>
      </c>
      <c r="D125" t="inlineStr">
        <is>
          <t>musd</t>
        </is>
      </c>
      <c r="E125" t="n">
        <v>257</v>
      </c>
      <c r="F125" t="n">
        <v>257</v>
      </c>
      <c r="G125" t="n">
        <v>257</v>
      </c>
    </row>
    <row r="126">
      <c r="A126" t="inlineStr">
        <is>
          <t>GA</t>
        </is>
      </c>
      <c r="B126" t="inlineStr">
        <is>
          <t>4Q25</t>
        </is>
      </c>
      <c r="C126" t="inlineStr">
        <is>
          <t>G&amp;A ex lodging reserve, cash ($M)</t>
        </is>
      </c>
      <c r="D126" t="inlineStr">
        <is>
          <t>musd</t>
        </is>
      </c>
      <c r="E126" t="n">
        <v>259</v>
      </c>
      <c r="F126" t="n">
        <v>259</v>
      </c>
      <c r="G126" t="n">
        <v>259</v>
      </c>
    </row>
    <row r="127">
      <c r="A127" t="inlineStr">
        <is>
          <t>GA</t>
        </is>
      </c>
      <c r="B127" t="inlineStr">
        <is>
          <t>1Q26</t>
        </is>
      </c>
      <c r="C127" t="inlineStr">
        <is>
          <t>G&amp;A ex lodging reserve, cash ($M)</t>
        </is>
      </c>
      <c r="D127" t="inlineStr">
        <is>
          <t>musd</t>
        </is>
      </c>
      <c r="E127" t="n">
        <v>226</v>
      </c>
      <c r="F127" t="n">
        <v>226</v>
      </c>
      <c r="G127" t="n">
        <v>226</v>
      </c>
    </row>
    <row r="128">
      <c r="A128" t="inlineStr">
        <is>
          <t>GA</t>
        </is>
      </c>
      <c r="B128" t="inlineStr">
        <is>
          <t>2Q26</t>
        </is>
      </c>
      <c r="C128" t="inlineStr">
        <is>
          <t>G&amp;A ex lodging reserve, cash ($M)</t>
        </is>
      </c>
      <c r="D128" t="inlineStr">
        <is>
          <t>musd</t>
        </is>
      </c>
      <c r="E128" t="n">
        <v>227</v>
      </c>
      <c r="F128" t="n">
        <v>227</v>
      </c>
      <c r="G128" t="n">
        <v>227</v>
      </c>
    </row>
    <row r="129">
      <c r="A129" t="inlineStr">
        <is>
          <t>SBC</t>
        </is>
      </c>
      <c r="B129" t="inlineStr">
        <is>
          <t>1Q23</t>
        </is>
      </c>
      <c r="C129" t="inlineStr">
        <is>
          <t>Stock-based compensation, total ($M)</t>
        </is>
      </c>
      <c r="D129" t="inlineStr">
        <is>
          <t>musd</t>
        </is>
      </c>
      <c r="E129" t="n">
        <v>240</v>
      </c>
      <c r="F129" t="n">
        <v>240</v>
      </c>
      <c r="G129" t="n">
        <v>240</v>
      </c>
    </row>
    <row r="130">
      <c r="A130" t="inlineStr">
        <is>
          <t>SBC</t>
        </is>
      </c>
      <c r="B130" t="inlineStr">
        <is>
          <t>2Q23</t>
        </is>
      </c>
      <c r="C130" t="inlineStr">
        <is>
          <t>Stock-based compensation, total ($M)</t>
        </is>
      </c>
      <c r="D130" t="inlineStr">
        <is>
          <t>musd</t>
        </is>
      </c>
      <c r="E130" t="n">
        <v>304</v>
      </c>
      <c r="F130" t="n">
        <v>304</v>
      </c>
      <c r="G130" t="n">
        <v>304</v>
      </c>
    </row>
    <row r="131">
      <c r="A131" t="inlineStr">
        <is>
          <t>SBC</t>
        </is>
      </c>
      <c r="B131" t="inlineStr">
        <is>
          <t>3Q23</t>
        </is>
      </c>
      <c r="C131" t="inlineStr">
        <is>
          <t>Stock-based compensation, total ($M)</t>
        </is>
      </c>
      <c r="D131" t="inlineStr">
        <is>
          <t>musd</t>
        </is>
      </c>
      <c r="E131" t="n">
        <v>286</v>
      </c>
      <c r="F131" t="n">
        <v>286</v>
      </c>
      <c r="G131" t="n">
        <v>286</v>
      </c>
    </row>
    <row r="132">
      <c r="A132" t="inlineStr">
        <is>
          <t>SBC</t>
        </is>
      </c>
      <c r="B132" t="inlineStr">
        <is>
          <t>4Q23</t>
        </is>
      </c>
      <c r="C132" t="inlineStr">
        <is>
          <t>Stock-based compensation, total ($M)</t>
        </is>
      </c>
      <c r="D132" t="inlineStr">
        <is>
          <t>musd</t>
        </is>
      </c>
      <c r="E132" t="n">
        <v>290</v>
      </c>
      <c r="F132" t="n">
        <v>290</v>
      </c>
      <c r="G132" t="n">
        <v>290</v>
      </c>
    </row>
    <row r="133">
      <c r="A133" t="inlineStr">
        <is>
          <t>SBC</t>
        </is>
      </c>
      <c r="B133" t="inlineStr">
        <is>
          <t>1Q24</t>
        </is>
      </c>
      <c r="C133" t="inlineStr">
        <is>
          <t>Stock-based compensation, total ($M)</t>
        </is>
      </c>
      <c r="D133" t="inlineStr">
        <is>
          <t>musd</t>
        </is>
      </c>
      <c r="E133" t="n">
        <v>295</v>
      </c>
      <c r="F133" t="n">
        <v>295</v>
      </c>
      <c r="G133" t="n">
        <v>295</v>
      </c>
    </row>
    <row r="134">
      <c r="A134" t="inlineStr">
        <is>
          <t>SBC</t>
        </is>
      </c>
      <c r="B134" t="inlineStr">
        <is>
          <t>2Q24</t>
        </is>
      </c>
      <c r="C134" t="inlineStr">
        <is>
          <t>Stock-based compensation, total ($M)</t>
        </is>
      </c>
      <c r="D134" t="inlineStr">
        <is>
          <t>musd</t>
        </is>
      </c>
      <c r="E134" t="n">
        <v>382</v>
      </c>
      <c r="F134" t="n">
        <v>382</v>
      </c>
      <c r="G134" t="n">
        <v>382</v>
      </c>
    </row>
    <row r="135">
      <c r="A135" t="inlineStr">
        <is>
          <t>SBC</t>
        </is>
      </c>
      <c r="B135" t="inlineStr">
        <is>
          <t>3Q24</t>
        </is>
      </c>
      <c r="C135" t="inlineStr">
        <is>
          <t>Stock-based compensation, total ($M)</t>
        </is>
      </c>
      <c r="D135" t="inlineStr">
        <is>
          <t>musd</t>
        </is>
      </c>
      <c r="E135" t="n">
        <v>362</v>
      </c>
      <c r="F135" t="n">
        <v>362</v>
      </c>
      <c r="G135" t="n">
        <v>362</v>
      </c>
    </row>
    <row r="136">
      <c r="A136" t="inlineStr">
        <is>
          <t>SBC</t>
        </is>
      </c>
      <c r="B136" t="inlineStr">
        <is>
          <t>4Q24</t>
        </is>
      </c>
      <c r="C136" t="inlineStr">
        <is>
          <t>Stock-based compensation, total ($M)</t>
        </is>
      </c>
      <c r="D136" t="inlineStr">
        <is>
          <t>musd</t>
        </is>
      </c>
      <c r="E136" t="n">
        <v>368</v>
      </c>
      <c r="F136" t="n">
        <v>368</v>
      </c>
      <c r="G136" t="n">
        <v>368</v>
      </c>
    </row>
    <row r="137">
      <c r="A137" t="inlineStr">
        <is>
          <t>SBC</t>
        </is>
      </c>
      <c r="B137" t="inlineStr">
        <is>
          <t>1Q25</t>
        </is>
      </c>
      <c r="C137" t="inlineStr">
        <is>
          <t>Stock-based compensation, total ($M)</t>
        </is>
      </c>
      <c r="D137" t="inlineStr">
        <is>
          <t>musd</t>
        </is>
      </c>
      <c r="E137" t="n">
        <v>358</v>
      </c>
      <c r="F137" t="n">
        <v>358</v>
      </c>
      <c r="G137" t="n">
        <v>358</v>
      </c>
    </row>
    <row r="138">
      <c r="A138" t="inlineStr">
        <is>
          <t>SBC</t>
        </is>
      </c>
      <c r="B138" t="inlineStr">
        <is>
          <t>2Q25</t>
        </is>
      </c>
      <c r="C138" t="inlineStr">
        <is>
          <t>Stock-based compensation, total ($M)</t>
        </is>
      </c>
      <c r="D138" t="inlineStr">
        <is>
          <t>musd</t>
        </is>
      </c>
      <c r="E138" t="n">
        <v>424</v>
      </c>
      <c r="F138" t="n">
        <v>424</v>
      </c>
      <c r="G138" t="n">
        <v>424</v>
      </c>
    </row>
    <row r="139">
      <c r="A139" t="inlineStr">
        <is>
          <t>SBC</t>
        </is>
      </c>
      <c r="B139" t="inlineStr">
        <is>
          <t>3Q25</t>
        </is>
      </c>
      <c r="C139" t="inlineStr">
        <is>
          <t>Stock-based compensation, total ($M)</t>
        </is>
      </c>
      <c r="D139" t="inlineStr">
        <is>
          <t>musd</t>
        </is>
      </c>
      <c r="E139" t="n">
        <v>399</v>
      </c>
      <c r="F139" t="n">
        <v>399</v>
      </c>
      <c r="G139" t="n">
        <v>399</v>
      </c>
    </row>
    <row r="140">
      <c r="A140" t="inlineStr">
        <is>
          <t>SBC</t>
        </is>
      </c>
      <c r="B140" t="inlineStr">
        <is>
          <t>4Q25</t>
        </is>
      </c>
      <c r="C140" t="inlineStr">
        <is>
          <t>Stock-based compensation, total ($M)</t>
        </is>
      </c>
      <c r="D140" t="inlineStr">
        <is>
          <t>musd</t>
        </is>
      </c>
      <c r="E140" t="n">
        <v>411</v>
      </c>
      <c r="F140" t="n">
        <v>411</v>
      </c>
      <c r="G140" t="n">
        <v>411</v>
      </c>
    </row>
    <row r="141">
      <c r="A141" t="inlineStr">
        <is>
          <t>SBC</t>
        </is>
      </c>
      <c r="B141" t="inlineStr">
        <is>
          <t>1Q26</t>
        </is>
      </c>
      <c r="C141" t="inlineStr">
        <is>
          <t>Stock-based compensation, total ($M)</t>
        </is>
      </c>
      <c r="D141" t="inlineStr">
        <is>
          <t>musd</t>
        </is>
      </c>
      <c r="E141" t="n">
        <v>410</v>
      </c>
      <c r="F141" t="n">
        <v>410</v>
      </c>
      <c r="G141" t="n">
        <v>410</v>
      </c>
    </row>
    <row r="142">
      <c r="A142" t="inlineStr">
        <is>
          <t>SBC</t>
        </is>
      </c>
      <c r="B142" t="inlineStr">
        <is>
          <t>2Q26</t>
        </is>
      </c>
      <c r="C142" t="inlineStr">
        <is>
          <t>Stock-based compensation, total ($M)</t>
        </is>
      </c>
      <c r="D142" t="inlineStr">
        <is>
          <t>musd</t>
        </is>
      </c>
      <c r="E142" t="n">
        <v>487</v>
      </c>
      <c r="F142" t="n">
        <v>487</v>
      </c>
      <c r="G142" t="n">
        <v>487</v>
      </c>
    </row>
    <row r="143">
      <c r="A143" t="inlineStr">
        <is>
          <t>DA</t>
        </is>
      </c>
      <c r="B143" t="inlineStr">
        <is>
          <t>1Q23</t>
        </is>
      </c>
      <c r="C143" t="inlineStr">
        <is>
          <t>Depreciation &amp; amortization ($M)</t>
        </is>
      </c>
      <c r="D143" t="inlineStr">
        <is>
          <t>musd</t>
        </is>
      </c>
      <c r="E143" t="n">
        <v>11</v>
      </c>
      <c r="F143" t="n">
        <v>11</v>
      </c>
      <c r="G143" t="n">
        <v>11</v>
      </c>
    </row>
    <row r="144">
      <c r="A144" t="inlineStr">
        <is>
          <t>DA</t>
        </is>
      </c>
      <c r="B144" t="inlineStr">
        <is>
          <t>2Q23</t>
        </is>
      </c>
      <c r="C144" t="inlineStr">
        <is>
          <t>Depreciation &amp; amortization ($M)</t>
        </is>
      </c>
      <c r="D144" t="inlineStr">
        <is>
          <t>musd</t>
        </is>
      </c>
      <c r="E144" t="n">
        <v>9</v>
      </c>
      <c r="F144" t="n">
        <v>9</v>
      </c>
      <c r="G144" t="n">
        <v>9</v>
      </c>
    </row>
    <row r="145">
      <c r="A145" t="inlineStr">
        <is>
          <t>DA</t>
        </is>
      </c>
      <c r="B145" t="inlineStr">
        <is>
          <t>3Q23</t>
        </is>
      </c>
      <c r="C145" t="inlineStr">
        <is>
          <t>Depreciation &amp; amortization ($M)</t>
        </is>
      </c>
      <c r="D145" t="inlineStr">
        <is>
          <t>musd</t>
        </is>
      </c>
      <c r="E145" t="n">
        <v>8</v>
      </c>
      <c r="F145" t="n">
        <v>8</v>
      </c>
      <c r="G145" t="n">
        <v>8</v>
      </c>
    </row>
    <row r="146">
      <c r="A146" t="inlineStr">
        <is>
          <t>DA</t>
        </is>
      </c>
      <c r="B146" t="inlineStr">
        <is>
          <t>4Q23</t>
        </is>
      </c>
      <c r="C146" t="inlineStr">
        <is>
          <t>Depreciation &amp; amortization ($M)</t>
        </is>
      </c>
      <c r="D146" t="inlineStr">
        <is>
          <t>musd</t>
        </is>
      </c>
      <c r="E146" t="n">
        <v>16</v>
      </c>
      <c r="F146" t="n">
        <v>16</v>
      </c>
      <c r="G146" t="n">
        <v>16</v>
      </c>
    </row>
    <row r="147">
      <c r="A147" t="inlineStr">
        <is>
          <t>DA</t>
        </is>
      </c>
      <c r="B147" t="inlineStr">
        <is>
          <t>1Q24</t>
        </is>
      </c>
      <c r="C147" t="inlineStr">
        <is>
          <t>Depreciation &amp; amortization ($M)</t>
        </is>
      </c>
      <c r="D147" t="inlineStr">
        <is>
          <t>musd</t>
        </is>
      </c>
      <c r="E147" t="n">
        <v>14</v>
      </c>
      <c r="F147" t="n">
        <v>14</v>
      </c>
      <c r="G147" t="n">
        <v>14</v>
      </c>
    </row>
    <row r="148">
      <c r="A148" t="inlineStr">
        <is>
          <t>DA</t>
        </is>
      </c>
      <c r="B148" t="inlineStr">
        <is>
          <t>2Q24</t>
        </is>
      </c>
      <c r="C148" t="inlineStr">
        <is>
          <t>Depreciation &amp; amortization ($M)</t>
        </is>
      </c>
      <c r="D148" t="inlineStr">
        <is>
          <t>musd</t>
        </is>
      </c>
      <c r="E148" t="n">
        <v>14</v>
      </c>
      <c r="F148" t="n">
        <v>14</v>
      </c>
      <c r="G148" t="n">
        <v>14</v>
      </c>
    </row>
    <row r="149">
      <c r="A149" t="inlineStr">
        <is>
          <t>DA</t>
        </is>
      </c>
      <c r="B149" t="inlineStr">
        <is>
          <t>3Q24</t>
        </is>
      </c>
      <c r="C149" t="inlineStr">
        <is>
          <t>Depreciation &amp; amortization ($M)</t>
        </is>
      </c>
      <c r="D149" t="inlineStr">
        <is>
          <t>musd</t>
        </is>
      </c>
      <c r="E149" t="n">
        <v>15</v>
      </c>
      <c r="F149" t="n">
        <v>15</v>
      </c>
      <c r="G149" t="n">
        <v>15</v>
      </c>
    </row>
    <row r="150">
      <c r="A150" t="inlineStr">
        <is>
          <t>DA</t>
        </is>
      </c>
      <c r="B150" t="inlineStr">
        <is>
          <t>4Q24</t>
        </is>
      </c>
      <c r="C150" t="inlineStr">
        <is>
          <t>Depreciation &amp; amortization ($M)</t>
        </is>
      </c>
      <c r="D150" t="inlineStr">
        <is>
          <t>musd</t>
        </is>
      </c>
      <c r="E150" t="n">
        <v>22</v>
      </c>
      <c r="F150" t="n">
        <v>22</v>
      </c>
      <c r="G150" t="n">
        <v>22</v>
      </c>
    </row>
    <row r="151">
      <c r="A151" t="inlineStr">
        <is>
          <t>DA</t>
        </is>
      </c>
      <c r="B151" t="inlineStr">
        <is>
          <t>1Q25</t>
        </is>
      </c>
      <c r="C151" t="inlineStr">
        <is>
          <t>Depreciation &amp; amortization ($M)</t>
        </is>
      </c>
      <c r="D151" t="inlineStr">
        <is>
          <t>musd</t>
        </is>
      </c>
      <c r="E151" t="n">
        <v>25</v>
      </c>
      <c r="F151" t="n">
        <v>25</v>
      </c>
      <c r="G151" t="n">
        <v>25</v>
      </c>
    </row>
    <row r="152">
      <c r="A152" t="inlineStr">
        <is>
          <t>DA</t>
        </is>
      </c>
      <c r="B152" t="inlineStr">
        <is>
          <t>2Q25</t>
        </is>
      </c>
      <c r="C152" t="inlineStr">
        <is>
          <t>Depreciation &amp; amortization ($M)</t>
        </is>
      </c>
      <c r="D152" t="inlineStr">
        <is>
          <t>musd</t>
        </is>
      </c>
      <c r="E152" t="n">
        <v>21</v>
      </c>
      <c r="F152" t="n">
        <v>21</v>
      </c>
      <c r="G152" t="n">
        <v>21</v>
      </c>
    </row>
    <row r="153">
      <c r="A153" t="inlineStr">
        <is>
          <t>DA</t>
        </is>
      </c>
      <c r="B153" t="inlineStr">
        <is>
          <t>3Q25</t>
        </is>
      </c>
      <c r="C153" t="inlineStr">
        <is>
          <t>Depreciation &amp; amortization ($M)</t>
        </is>
      </c>
      <c r="D153" t="inlineStr">
        <is>
          <t>musd</t>
        </is>
      </c>
      <c r="E153" t="n">
        <v>22</v>
      </c>
      <c r="F153" t="n">
        <v>22</v>
      </c>
      <c r="G153" t="n">
        <v>22</v>
      </c>
    </row>
    <row r="154">
      <c r="A154" t="inlineStr">
        <is>
          <t>DA</t>
        </is>
      </c>
      <c r="B154" t="inlineStr">
        <is>
          <t>4Q25</t>
        </is>
      </c>
      <c r="C154" t="inlineStr">
        <is>
          <t>Depreciation &amp; amortization ($M)</t>
        </is>
      </c>
      <c r="D154" t="inlineStr">
        <is>
          <t>musd</t>
        </is>
      </c>
      <c r="E154" t="n">
        <v>23</v>
      </c>
      <c r="F154" t="n">
        <v>23</v>
      </c>
      <c r="G154" t="n">
        <v>23</v>
      </c>
    </row>
    <row r="155">
      <c r="A155" t="inlineStr">
        <is>
          <t>DA</t>
        </is>
      </c>
      <c r="B155" t="inlineStr">
        <is>
          <t>1Q26</t>
        </is>
      </c>
      <c r="C155" t="inlineStr">
        <is>
          <t>Depreciation &amp; amortization ($M)</t>
        </is>
      </c>
      <c r="D155" t="inlineStr">
        <is>
          <t>musd</t>
        </is>
      </c>
      <c r="E155" t="n">
        <v>22</v>
      </c>
      <c r="F155" t="n">
        <v>22</v>
      </c>
      <c r="G155" t="n">
        <v>22</v>
      </c>
    </row>
    <row r="156">
      <c r="A156" t="inlineStr">
        <is>
          <t>DA</t>
        </is>
      </c>
      <c r="B156" t="inlineStr">
        <is>
          <t>2Q26</t>
        </is>
      </c>
      <c r="C156" t="inlineStr">
        <is>
          <t>Depreciation &amp; amortization ($M)</t>
        </is>
      </c>
      <c r="D156" t="inlineStr">
        <is>
          <t>musd</t>
        </is>
      </c>
      <c r="E156" t="n">
        <v>17</v>
      </c>
      <c r="F156" t="n">
        <v>17</v>
      </c>
      <c r="G156" t="n">
        <v>17</v>
      </c>
    </row>
    <row r="157">
      <c r="A157" t="inlineStr">
        <is>
          <t>EBITDA</t>
        </is>
      </c>
      <c r="B157" t="inlineStr">
        <is>
          <t>1Q23</t>
        </is>
      </c>
      <c r="C157" t="inlineStr">
        <is>
          <t>Adjusted EBITDA ($M)</t>
        </is>
      </c>
      <c r="D157" t="inlineStr">
        <is>
          <t>musd</t>
        </is>
      </c>
      <c r="E157" t="n">
        <v>262</v>
      </c>
      <c r="F157" t="n">
        <v>262</v>
      </c>
      <c r="G157" t="n">
        <v>262</v>
      </c>
    </row>
    <row r="158">
      <c r="A158" t="inlineStr">
        <is>
          <t>EBITDA</t>
        </is>
      </c>
      <c r="B158" t="inlineStr">
        <is>
          <t>2Q23</t>
        </is>
      </c>
      <c r="C158" t="inlineStr">
        <is>
          <t>Adjusted EBITDA ($M)</t>
        </is>
      </c>
      <c r="D158" t="inlineStr">
        <is>
          <t>musd</t>
        </is>
      </c>
      <c r="E158" t="n">
        <v>819</v>
      </c>
      <c r="F158" t="n">
        <v>819</v>
      </c>
      <c r="G158" t="n">
        <v>819</v>
      </c>
    </row>
    <row r="159">
      <c r="A159" t="inlineStr">
        <is>
          <t>EBITDA</t>
        </is>
      </c>
      <c r="B159" t="inlineStr">
        <is>
          <t>3Q23</t>
        </is>
      </c>
      <c r="C159" t="inlineStr">
        <is>
          <t>Adjusted EBITDA ($M)</t>
        </is>
      </c>
      <c r="D159" t="inlineStr">
        <is>
          <t>musd</t>
        </is>
      </c>
      <c r="E159" t="n">
        <v>1834</v>
      </c>
      <c r="F159" t="n">
        <v>1834</v>
      </c>
      <c r="G159" t="n">
        <v>1834</v>
      </c>
    </row>
    <row r="160">
      <c r="A160" t="inlineStr">
        <is>
          <t>EBITDA</t>
        </is>
      </c>
      <c r="B160" t="inlineStr">
        <is>
          <t>4Q23</t>
        </is>
      </c>
      <c r="C160" t="inlineStr">
        <is>
          <t>Adjusted EBITDA ($M)</t>
        </is>
      </c>
      <c r="D160" t="inlineStr">
        <is>
          <t>musd</t>
        </is>
      </c>
      <c r="E160" t="n">
        <v>738</v>
      </c>
      <c r="F160" t="n">
        <v>738</v>
      </c>
      <c r="G160" t="n">
        <v>738</v>
      </c>
    </row>
    <row r="161">
      <c r="A161" t="inlineStr">
        <is>
          <t>EBITDA</t>
        </is>
      </c>
      <c r="B161" t="inlineStr">
        <is>
          <t>1Q24</t>
        </is>
      </c>
      <c r="C161" t="inlineStr">
        <is>
          <t>Adjusted EBITDA ($M)</t>
        </is>
      </c>
      <c r="D161" t="inlineStr">
        <is>
          <t>musd</t>
        </is>
      </c>
      <c r="E161" t="n">
        <v>424</v>
      </c>
      <c r="F161" t="n">
        <v>424</v>
      </c>
      <c r="G161" t="n">
        <v>424</v>
      </c>
    </row>
    <row r="162">
      <c r="A162" t="inlineStr">
        <is>
          <t>EBITDA</t>
        </is>
      </c>
      <c r="B162" t="inlineStr">
        <is>
          <t>2Q24</t>
        </is>
      </c>
      <c r="C162" t="inlineStr">
        <is>
          <t>Adjusted EBITDA ($M)</t>
        </is>
      </c>
      <c r="D162" t="inlineStr">
        <is>
          <t>musd</t>
        </is>
      </c>
      <c r="E162" t="n">
        <v>894</v>
      </c>
      <c r="F162" t="n">
        <v>894</v>
      </c>
      <c r="G162" t="n">
        <v>894</v>
      </c>
    </row>
    <row r="163">
      <c r="A163" t="inlineStr">
        <is>
          <t>EBITDA</t>
        </is>
      </c>
      <c r="B163" t="inlineStr">
        <is>
          <t>3Q24</t>
        </is>
      </c>
      <c r="C163" t="inlineStr">
        <is>
          <t>Adjusted EBITDA ($M)</t>
        </is>
      </c>
      <c r="D163" t="inlineStr">
        <is>
          <t>musd</t>
        </is>
      </c>
      <c r="E163" t="n">
        <v>1958</v>
      </c>
      <c r="F163" t="n">
        <v>1958</v>
      </c>
      <c r="G163" t="n">
        <v>1958</v>
      </c>
    </row>
    <row r="164">
      <c r="A164" t="inlineStr">
        <is>
          <t>EBITDA</t>
        </is>
      </c>
      <c r="B164" t="inlineStr">
        <is>
          <t>4Q24</t>
        </is>
      </c>
      <c r="C164" t="inlineStr">
        <is>
          <t>Adjusted EBITDA ($M)</t>
        </is>
      </c>
      <c r="D164" t="inlineStr">
        <is>
          <t>musd</t>
        </is>
      </c>
      <c r="E164" t="n">
        <v>765</v>
      </c>
      <c r="F164" t="n">
        <v>765</v>
      </c>
      <c r="G164" t="n">
        <v>765</v>
      </c>
    </row>
    <row r="165">
      <c r="A165" t="inlineStr">
        <is>
          <t>EBITDA</t>
        </is>
      </c>
      <c r="B165" t="inlineStr">
        <is>
          <t>1Q25</t>
        </is>
      </c>
      <c r="C165" t="inlineStr">
        <is>
          <t>Adjusted EBITDA ($M)</t>
        </is>
      </c>
      <c r="D165" t="inlineStr">
        <is>
          <t>musd</t>
        </is>
      </c>
      <c r="E165" t="n">
        <v>417</v>
      </c>
      <c r="F165" t="n">
        <v>417</v>
      </c>
      <c r="G165" t="n">
        <v>417</v>
      </c>
    </row>
    <row r="166">
      <c r="A166" t="inlineStr">
        <is>
          <t>EBITDA</t>
        </is>
      </c>
      <c r="B166" t="inlineStr">
        <is>
          <t>2Q25</t>
        </is>
      </c>
      <c r="C166" t="inlineStr">
        <is>
          <t>Adjusted EBITDA ($M)</t>
        </is>
      </c>
      <c r="D166" t="inlineStr">
        <is>
          <t>musd</t>
        </is>
      </c>
      <c r="E166" t="n">
        <v>1043</v>
      </c>
      <c r="F166" t="n">
        <v>1043</v>
      </c>
      <c r="G166" t="n">
        <v>1043</v>
      </c>
    </row>
    <row r="167">
      <c r="A167" t="inlineStr">
        <is>
          <t>EBITDA</t>
        </is>
      </c>
      <c r="B167" t="inlineStr">
        <is>
          <t>3Q25</t>
        </is>
      </c>
      <c r="C167" t="inlineStr">
        <is>
          <t>Adjusted EBITDA ($M)</t>
        </is>
      </c>
      <c r="D167" t="inlineStr">
        <is>
          <t>musd</t>
        </is>
      </c>
      <c r="E167" t="n">
        <v>2051</v>
      </c>
      <c r="F167" t="n">
        <v>2051</v>
      </c>
      <c r="G167" t="n">
        <v>2051</v>
      </c>
    </row>
    <row r="168">
      <c r="A168" t="inlineStr">
        <is>
          <t>EBITDA</t>
        </is>
      </c>
      <c r="B168" t="inlineStr">
        <is>
          <t>4Q25</t>
        </is>
      </c>
      <c r="C168" t="inlineStr">
        <is>
          <t>Adjusted EBITDA ($M)</t>
        </is>
      </c>
      <c r="D168" t="inlineStr">
        <is>
          <t>musd</t>
        </is>
      </c>
      <c r="E168" t="n">
        <v>786</v>
      </c>
      <c r="F168" t="n">
        <v>786</v>
      </c>
      <c r="G168" t="n">
        <v>786</v>
      </c>
    </row>
    <row r="169">
      <c r="A169" t="inlineStr">
        <is>
          <t>EBITDA</t>
        </is>
      </c>
      <c r="B169" t="inlineStr">
        <is>
          <t>1Q26</t>
        </is>
      </c>
      <c r="C169" t="inlineStr">
        <is>
          <t>Adjusted EBITDA ($M)</t>
        </is>
      </c>
      <c r="D169" t="inlineStr">
        <is>
          <t>musd</t>
        </is>
      </c>
      <c r="E169" t="n">
        <v>519</v>
      </c>
      <c r="F169" t="n">
        <v>519</v>
      </c>
      <c r="G169" t="n">
        <v>519</v>
      </c>
    </row>
    <row r="170">
      <c r="A170" t="inlineStr">
        <is>
          <t>EBITDA</t>
        </is>
      </c>
      <c r="B170" t="inlineStr">
        <is>
          <t>2Q26</t>
        </is>
      </c>
      <c r="C170" t="inlineStr">
        <is>
          <t>Adjusted EBITDA ($M)</t>
        </is>
      </c>
      <c r="D170" t="inlineStr">
        <is>
          <t>musd</t>
        </is>
      </c>
      <c r="E170" t="n">
        <v>1261</v>
      </c>
      <c r="F170" t="n">
        <v>1261</v>
      </c>
      <c r="G170" t="n">
        <v>1261</v>
      </c>
    </row>
    <row r="171">
      <c r="A171" t="inlineStr">
        <is>
          <t>SHARES</t>
        </is>
      </c>
      <c r="B171" t="inlineStr">
        <is>
          <t>1Q23</t>
        </is>
      </c>
      <c r="C171" t="inlineStr">
        <is>
          <t>Diluted shares, historical (m)</t>
        </is>
      </c>
      <c r="D171" t="inlineStr">
        <is>
          <t>m</t>
        </is>
      </c>
      <c r="E171" t="n">
        <v>670</v>
      </c>
      <c r="F171" t="n">
        <v>670</v>
      </c>
      <c r="G171" t="n">
        <v>670</v>
      </c>
    </row>
    <row r="172">
      <c r="A172" t="inlineStr">
        <is>
          <t>SHARES</t>
        </is>
      </c>
      <c r="B172" t="inlineStr">
        <is>
          <t>2Q23</t>
        </is>
      </c>
      <c r="C172" t="inlineStr">
        <is>
          <t>Diluted shares, historical (m)</t>
        </is>
      </c>
      <c r="D172" t="inlineStr">
        <is>
          <t>m</t>
        </is>
      </c>
      <c r="E172" t="n">
        <v>665</v>
      </c>
      <c r="F172" t="n">
        <v>665</v>
      </c>
      <c r="G172" t="n">
        <v>665</v>
      </c>
    </row>
    <row r="173">
      <c r="A173" t="inlineStr">
        <is>
          <t>SHARES</t>
        </is>
      </c>
      <c r="B173" t="inlineStr">
        <is>
          <t>3Q23</t>
        </is>
      </c>
      <c r="C173" t="inlineStr">
        <is>
          <t>Diluted shares, historical (m)</t>
        </is>
      </c>
      <c r="D173" t="inlineStr">
        <is>
          <t>m</t>
        </is>
      </c>
      <c r="E173" t="n">
        <v>660</v>
      </c>
      <c r="F173" t="n">
        <v>660</v>
      </c>
      <c r="G173" t="n">
        <v>660</v>
      </c>
    </row>
    <row r="174">
      <c r="A174" t="inlineStr">
        <is>
          <t>SHARES</t>
        </is>
      </c>
      <c r="B174" t="inlineStr">
        <is>
          <t>4Q23</t>
        </is>
      </c>
      <c r="C174" t="inlineStr">
        <is>
          <t>Diluted shares, historical (m)</t>
        </is>
      </c>
      <c r="D174" t="inlineStr">
        <is>
          <t>m</t>
        </is>
      </c>
      <c r="E174" t="n">
        <v>640</v>
      </c>
      <c r="F174" t="n">
        <v>640</v>
      </c>
      <c r="G174" t="n">
        <v>640</v>
      </c>
    </row>
    <row r="175">
      <c r="A175" t="inlineStr">
        <is>
          <t>SHARES</t>
        </is>
      </c>
      <c r="B175" t="inlineStr">
        <is>
          <t>1Q24</t>
        </is>
      </c>
      <c r="C175" t="inlineStr">
        <is>
          <t>Diluted shares, historical (m)</t>
        </is>
      </c>
      <c r="D175" t="inlineStr">
        <is>
          <t>m</t>
        </is>
      </c>
      <c r="E175" t="n">
        <v>654</v>
      </c>
      <c r="F175" t="n">
        <v>654</v>
      </c>
      <c r="G175" t="n">
        <v>654</v>
      </c>
    </row>
    <row r="176">
      <c r="A176" t="inlineStr">
        <is>
          <t>SHARES</t>
        </is>
      </c>
      <c r="B176" t="inlineStr">
        <is>
          <t>2Q24</t>
        </is>
      </c>
      <c r="C176" t="inlineStr">
        <is>
          <t>Diluted shares, historical (m)</t>
        </is>
      </c>
      <c r="D176" t="inlineStr">
        <is>
          <t>m</t>
        </is>
      </c>
      <c r="E176" t="n">
        <v>649</v>
      </c>
      <c r="F176" t="n">
        <v>649</v>
      </c>
      <c r="G176" t="n">
        <v>649</v>
      </c>
    </row>
    <row r="177">
      <c r="A177" t="inlineStr">
        <is>
          <t>SHARES</t>
        </is>
      </c>
      <c r="B177" t="inlineStr">
        <is>
          <t>3Q24</t>
        </is>
      </c>
      <c r="C177" t="inlineStr">
        <is>
          <t>Diluted shares, historical (m)</t>
        </is>
      </c>
      <c r="D177" t="inlineStr">
        <is>
          <t>m</t>
        </is>
      </c>
      <c r="E177" t="n">
        <v>642</v>
      </c>
      <c r="F177" t="n">
        <v>642</v>
      </c>
      <c r="G177" t="n">
        <v>642</v>
      </c>
    </row>
    <row r="178">
      <c r="A178" t="inlineStr">
        <is>
          <t>SHARES</t>
        </is>
      </c>
      <c r="B178" t="inlineStr">
        <is>
          <t>4Q24</t>
        </is>
      </c>
      <c r="C178" t="inlineStr">
        <is>
          <t>Diluted shares, historical (m)</t>
        </is>
      </c>
      <c r="D178" t="inlineStr">
        <is>
          <t>m</t>
        </is>
      </c>
      <c r="E178" t="n">
        <v>636</v>
      </c>
      <c r="F178" t="n">
        <v>636</v>
      </c>
      <c r="G178" t="n">
        <v>636</v>
      </c>
    </row>
    <row r="179">
      <c r="A179" t="inlineStr">
        <is>
          <t>SHARES</t>
        </is>
      </c>
      <c r="B179" t="inlineStr">
        <is>
          <t>1Q25</t>
        </is>
      </c>
      <c r="C179" t="inlineStr">
        <is>
          <t>Diluted shares, historical (m)</t>
        </is>
      </c>
      <c r="D179" t="inlineStr">
        <is>
          <t>m</t>
        </is>
      </c>
      <c r="E179" t="n">
        <v>632</v>
      </c>
      <c r="F179" t="n">
        <v>632</v>
      </c>
      <c r="G179" t="n">
        <v>632</v>
      </c>
    </row>
    <row r="180">
      <c r="A180" t="inlineStr">
        <is>
          <t>SHARES</t>
        </is>
      </c>
      <c r="B180" t="inlineStr">
        <is>
          <t>2Q25</t>
        </is>
      </c>
      <c r="C180" t="inlineStr">
        <is>
          <t>Diluted shares, historical (m)</t>
        </is>
      </c>
      <c r="D180" t="inlineStr">
        <is>
          <t>m</t>
        </is>
      </c>
      <c r="E180" t="n">
        <v>626</v>
      </c>
      <c r="F180" t="n">
        <v>626</v>
      </c>
      <c r="G180" t="n">
        <v>626</v>
      </c>
    </row>
    <row r="181">
      <c r="A181" t="inlineStr">
        <is>
          <t>SHARES</t>
        </is>
      </c>
      <c r="B181" t="inlineStr">
        <is>
          <t>3Q25</t>
        </is>
      </c>
      <c r="C181" t="inlineStr">
        <is>
          <t>Diluted shares, historical (m)</t>
        </is>
      </c>
      <c r="D181" t="inlineStr">
        <is>
          <t>m</t>
        </is>
      </c>
      <c r="E181" t="n">
        <v>621</v>
      </c>
      <c r="F181" t="n">
        <v>621</v>
      </c>
      <c r="G181" t="n">
        <v>621</v>
      </c>
    </row>
    <row r="182">
      <c r="A182" t="inlineStr">
        <is>
          <t>SHARES</t>
        </is>
      </c>
      <c r="B182" t="inlineStr">
        <is>
          <t>4Q25</t>
        </is>
      </c>
      <c r="C182" t="inlineStr">
        <is>
          <t>Diluted shares, historical (m)</t>
        </is>
      </c>
      <c r="D182" t="inlineStr">
        <is>
          <t>m</t>
        </is>
      </c>
      <c r="E182" t="n">
        <v>614</v>
      </c>
      <c r="F182" t="n">
        <v>614</v>
      </c>
      <c r="G182" t="n">
        <v>614</v>
      </c>
    </row>
    <row r="183">
      <c r="A183" t="inlineStr">
        <is>
          <t>SHARES</t>
        </is>
      </c>
      <c r="B183" t="inlineStr">
        <is>
          <t>1Q26</t>
        </is>
      </c>
      <c r="C183" t="inlineStr">
        <is>
          <t>Diluted shares, historical (m)</t>
        </is>
      </c>
      <c r="D183" t="inlineStr">
        <is>
          <t>m</t>
        </is>
      </c>
      <c r="E183" t="n">
        <v>608</v>
      </c>
      <c r="F183" t="n">
        <v>608</v>
      </c>
      <c r="G183" t="n">
        <v>608</v>
      </c>
    </row>
    <row r="184">
      <c r="A184" t="inlineStr">
        <is>
          <t>SHARES</t>
        </is>
      </c>
      <c r="B184" t="inlineStr">
        <is>
          <t>2Q26</t>
        </is>
      </c>
      <c r="C184" t="inlineStr">
        <is>
          <t>Diluted shares, historical (m)</t>
        </is>
      </c>
      <c r="D184" t="inlineStr">
        <is>
          <t>m</t>
        </is>
      </c>
      <c r="E184" t="n">
        <v>597</v>
      </c>
      <c r="F184" t="n">
        <v>597</v>
      </c>
      <c r="G184" t="n">
        <v>597</v>
      </c>
    </row>
    <row r="185">
      <c r="A185" t="inlineStr">
        <is>
          <t>SM</t>
        </is>
      </c>
      <c r="B185" t="inlineStr">
        <is>
          <t>1Q23</t>
        </is>
      </c>
      <c r="C185" t="inlineStr">
        <is>
          <t>Sales &amp; marketing, cash ($M)</t>
        </is>
      </c>
      <c r="D185" t="inlineStr">
        <is>
          <t>musd</t>
        </is>
      </c>
      <c r="E185" t="n">
        <v>422</v>
      </c>
      <c r="F185" t="n">
        <v>422</v>
      </c>
      <c r="G185" t="n">
        <v>422</v>
      </c>
    </row>
    <row r="186">
      <c r="A186" t="inlineStr">
        <is>
          <t>SM</t>
        </is>
      </c>
      <c r="B186" t="inlineStr">
        <is>
          <t>2Q23</t>
        </is>
      </c>
      <c r="C186" t="inlineStr">
        <is>
          <t>Sales &amp; marketing, cash ($M)</t>
        </is>
      </c>
      <c r="D186" t="inlineStr">
        <is>
          <t>musd</t>
        </is>
      </c>
      <c r="E186" t="n">
        <v>450</v>
      </c>
      <c r="F186" t="n">
        <v>450</v>
      </c>
      <c r="G186" t="n">
        <v>450</v>
      </c>
    </row>
    <row r="187">
      <c r="A187" t="inlineStr">
        <is>
          <t>SM</t>
        </is>
      </c>
      <c r="B187" t="inlineStr">
        <is>
          <t>3Q23</t>
        </is>
      </c>
      <c r="C187" t="inlineStr">
        <is>
          <t>Sales &amp; marketing, cash ($M)</t>
        </is>
      </c>
      <c r="D187" t="inlineStr">
        <is>
          <t>musd</t>
        </is>
      </c>
      <c r="E187" t="n">
        <v>370</v>
      </c>
      <c r="F187" t="n">
        <v>370</v>
      </c>
      <c r="G187" t="n">
        <v>370</v>
      </c>
    </row>
    <row r="188">
      <c r="A188" t="inlineStr">
        <is>
          <t>SM</t>
        </is>
      </c>
      <c r="B188" t="inlineStr">
        <is>
          <t>4Q23</t>
        </is>
      </c>
      <c r="C188" t="inlineStr">
        <is>
          <t>Sales &amp; marketing, cash ($M)</t>
        </is>
      </c>
      <c r="D188" t="inlineStr">
        <is>
          <t>musd</t>
        </is>
      </c>
      <c r="E188" t="n">
        <v>391</v>
      </c>
      <c r="F188" t="n">
        <v>391</v>
      </c>
      <c r="G188" t="n">
        <v>391</v>
      </c>
    </row>
    <row r="189">
      <c r="A189" t="inlineStr">
        <is>
          <t>SM</t>
        </is>
      </c>
      <c r="B189" t="inlineStr">
        <is>
          <t>1Q24</t>
        </is>
      </c>
      <c r="C189" t="inlineStr">
        <is>
          <t>Sales &amp; marketing, cash ($M)</t>
        </is>
      </c>
      <c r="D189" t="inlineStr">
        <is>
          <t>musd</t>
        </is>
      </c>
      <c r="E189" t="n">
        <v>479</v>
      </c>
      <c r="F189" t="n">
        <v>479</v>
      </c>
      <c r="G189" t="n">
        <v>479</v>
      </c>
    </row>
    <row r="190">
      <c r="A190" t="inlineStr">
        <is>
          <t>SM</t>
        </is>
      </c>
      <c r="B190" t="inlineStr">
        <is>
          <t>2Q24</t>
        </is>
      </c>
      <c r="C190" t="inlineStr">
        <is>
          <t>Sales &amp; marketing, cash ($M)</t>
        </is>
      </c>
      <c r="D190" t="inlineStr">
        <is>
          <t>musd</t>
        </is>
      </c>
      <c r="E190" t="n">
        <v>527</v>
      </c>
      <c r="F190" t="n">
        <v>527</v>
      </c>
      <c r="G190" t="n">
        <v>527</v>
      </c>
    </row>
    <row r="191">
      <c r="A191" t="inlineStr">
        <is>
          <t>SM</t>
        </is>
      </c>
      <c r="B191" t="inlineStr">
        <is>
          <t>3Q24</t>
        </is>
      </c>
      <c r="C191" t="inlineStr">
        <is>
          <t>Sales &amp; marketing, cash ($M)</t>
        </is>
      </c>
      <c r="D191" t="inlineStr">
        <is>
          <t>musd</t>
        </is>
      </c>
      <c r="E191" t="n">
        <v>471</v>
      </c>
      <c r="F191" t="n">
        <v>471</v>
      </c>
      <c r="G191" t="n">
        <v>471</v>
      </c>
    </row>
    <row r="192">
      <c r="A192" t="inlineStr">
        <is>
          <t>SM</t>
        </is>
      </c>
      <c r="B192" t="inlineStr">
        <is>
          <t>4Q24</t>
        </is>
      </c>
      <c r="C192" t="inlineStr">
        <is>
          <t>Sales &amp; marketing, cash ($M)</t>
        </is>
      </c>
      <c r="D192" t="inlineStr">
        <is>
          <t>musd</t>
        </is>
      </c>
      <c r="E192" t="n">
        <v>501</v>
      </c>
      <c r="F192" t="n">
        <v>501</v>
      </c>
      <c r="G192" t="n">
        <v>501</v>
      </c>
    </row>
    <row r="193">
      <c r="A193" t="inlineStr">
        <is>
          <t>SM</t>
        </is>
      </c>
      <c r="B193" t="inlineStr">
        <is>
          <t>1Q25</t>
        </is>
      </c>
      <c r="C193" t="inlineStr">
        <is>
          <t>Sales &amp; marketing, cash ($M)</t>
        </is>
      </c>
      <c r="D193" t="inlineStr">
        <is>
          <t>musd</t>
        </is>
      </c>
      <c r="E193" t="n">
        <v>519</v>
      </c>
      <c r="F193" t="n">
        <v>519</v>
      </c>
      <c r="G193" t="n">
        <v>519</v>
      </c>
    </row>
    <row r="194">
      <c r="A194" t="inlineStr">
        <is>
          <t>SM</t>
        </is>
      </c>
      <c r="B194" t="inlineStr">
        <is>
          <t>2Q25</t>
        </is>
      </c>
      <c r="C194" t="inlineStr">
        <is>
          <t>Sales &amp; marketing, cash ($M)</t>
        </is>
      </c>
      <c r="D194" t="inlineStr">
        <is>
          <t>musd</t>
        </is>
      </c>
      <c r="E194" t="n">
        <v>639</v>
      </c>
      <c r="F194" t="n">
        <v>639</v>
      </c>
      <c r="G194" t="n">
        <v>639</v>
      </c>
    </row>
    <row r="195">
      <c r="A195" t="inlineStr">
        <is>
          <t>SM</t>
        </is>
      </c>
      <c r="B195" t="inlineStr">
        <is>
          <t>3Q25</t>
        </is>
      </c>
      <c r="C195" t="inlineStr">
        <is>
          <t>Sales &amp; marketing, cash ($M)</t>
        </is>
      </c>
      <c r="D195" t="inlineStr">
        <is>
          <t>musd</t>
        </is>
      </c>
      <c r="E195" t="n">
        <v>585</v>
      </c>
      <c r="F195" t="n">
        <v>585</v>
      </c>
      <c r="G195" t="n">
        <v>585</v>
      </c>
    </row>
    <row r="196">
      <c r="A196" t="inlineStr">
        <is>
          <t>SM</t>
        </is>
      </c>
      <c r="B196" t="inlineStr">
        <is>
          <t>4Q25</t>
        </is>
      </c>
      <c r="C196" t="inlineStr">
        <is>
          <t>Sales &amp; marketing, cash ($M)</t>
        </is>
      </c>
      <c r="D196" t="inlineStr">
        <is>
          <t>musd</t>
        </is>
      </c>
      <c r="E196" t="n">
        <v>633</v>
      </c>
      <c r="F196" t="n">
        <v>633</v>
      </c>
      <c r="G196" t="n">
        <v>633</v>
      </c>
    </row>
    <row r="197">
      <c r="A197" t="inlineStr">
        <is>
          <t>SM</t>
        </is>
      </c>
      <c r="B197" t="inlineStr">
        <is>
          <t>1Q26</t>
        </is>
      </c>
      <c r="C197" t="inlineStr">
        <is>
          <t>Sales &amp; marketing, cash ($M)</t>
        </is>
      </c>
      <c r="D197" t="inlineStr">
        <is>
          <t>musd</t>
        </is>
      </c>
      <c r="E197" t="n">
        <v>696</v>
      </c>
      <c r="F197" t="n">
        <v>696</v>
      </c>
      <c r="G197" t="n">
        <v>696</v>
      </c>
    </row>
    <row r="198">
      <c r="A198" t="inlineStr">
        <is>
          <t>SM</t>
        </is>
      </c>
      <c r="B198" t="inlineStr">
        <is>
          <t>2Q26</t>
        </is>
      </c>
      <c r="C198" t="inlineStr">
        <is>
          <t>Sales &amp; marketing, cash ($M)</t>
        </is>
      </c>
      <c r="D198" t="inlineStr">
        <is>
          <t>musd</t>
        </is>
      </c>
      <c r="E198" t="n">
        <v>808</v>
      </c>
      <c r="F198" t="n">
        <v>808</v>
      </c>
      <c r="G198" t="n">
        <v>808</v>
      </c>
    </row>
    <row r="199">
      <c r="A199" t="inlineStr">
        <is>
          <t>SM</t>
        </is>
      </c>
      <c r="B199" t="inlineStr">
        <is>
          <t>3Q26</t>
        </is>
      </c>
      <c r="C199" t="inlineStr">
        <is>
          <t>Sales &amp; marketing, cash ($M)</t>
        </is>
      </c>
      <c r="D199" t="inlineStr">
        <is>
          <t>musd</t>
        </is>
      </c>
      <c r="E199" t="n">
        <v>778.3</v>
      </c>
      <c r="F199" t="n">
        <v>778.3</v>
      </c>
      <c r="G199" t="n">
        <v>785.4</v>
      </c>
    </row>
    <row r="200">
      <c r="A200" t="inlineStr">
        <is>
          <t>SM</t>
        </is>
      </c>
      <c r="B200" t="inlineStr">
        <is>
          <t>4Q26</t>
        </is>
      </c>
      <c r="C200" t="inlineStr">
        <is>
          <t>Sales &amp; marketing, cash ($M)</t>
        </is>
      </c>
      <c r="D200" t="inlineStr">
        <is>
          <t>musd</t>
        </is>
      </c>
      <c r="E200" t="n">
        <v>758.1</v>
      </c>
      <c r="F200" t="n">
        <v>758.1</v>
      </c>
      <c r="G200" t="n">
        <v>713.7</v>
      </c>
    </row>
    <row r="201">
      <c r="A201" t="inlineStr">
        <is>
          <t>SM</t>
        </is>
      </c>
      <c r="B201" t="inlineStr">
        <is>
          <t>FY26</t>
        </is>
      </c>
      <c r="C201" t="inlineStr">
        <is>
          <t>Sales &amp; marketing, cash ($M)</t>
        </is>
      </c>
      <c r="D201" t="inlineStr">
        <is>
          <t>musd</t>
        </is>
      </c>
      <c r="E201" t="n">
        <v>3040.4</v>
      </c>
      <c r="F201" t="n">
        <v>3040.4</v>
      </c>
      <c r="G201" t="n">
        <v>3003.1</v>
      </c>
    </row>
    <row r="202">
      <c r="A202" t="inlineStr">
        <is>
          <t>SM</t>
        </is>
      </c>
      <c r="B202" t="inlineStr">
        <is>
          <t>FY27</t>
        </is>
      </c>
      <c r="C202" t="inlineStr">
        <is>
          <t>Sales &amp; marketing, cash ($M)</t>
        </is>
      </c>
      <c r="D202" t="inlineStr">
        <is>
          <t>musd</t>
        </is>
      </c>
      <c r="E202" t="n">
        <v>3459.6</v>
      </c>
      <c r="F202" t="n">
        <v>3459.6</v>
      </c>
      <c r="G202" t="n">
        <v>3285.6</v>
      </c>
    </row>
    <row r="203">
      <c r="A203" t="inlineStr">
        <is>
          <t>STREET_EBITDA</t>
        </is>
      </c>
      <c r="B203" t="inlineStr">
        <is>
          <t>3Q26</t>
        </is>
      </c>
      <c r="C203" t="inlineStr">
        <is>
          <t>Street adjusted EBITDA ($M)</t>
        </is>
      </c>
      <c r="D203" t="inlineStr">
        <is>
          <t>musd</t>
        </is>
      </c>
      <c r="E203" t="n">
        <v>2362</v>
      </c>
      <c r="F203" t="n">
        <v>2362</v>
      </c>
      <c r="G203" t="n">
        <v>2362</v>
      </c>
    </row>
    <row r="204">
      <c r="A204" t="inlineStr">
        <is>
          <t>STREET_EBITDA</t>
        </is>
      </c>
      <c r="B204" t="inlineStr">
        <is>
          <t>FY27</t>
        </is>
      </c>
      <c r="C204" t="inlineStr">
        <is>
          <t>Street adjusted EBITDA ($M)</t>
        </is>
      </c>
      <c r="D204" t="inlineStr">
        <is>
          <t>musd</t>
        </is>
      </c>
      <c r="E204" t="n">
        <v>5766</v>
      </c>
      <c r="F204" t="n">
        <v>5766</v>
      </c>
      <c r="G204" t="n">
        <v>5766</v>
      </c>
    </row>
    <row r="205">
      <c r="A205" t="inlineStr">
        <is>
          <t>STREET_EPS</t>
        </is>
      </c>
      <c r="B205" t="inlineStr">
        <is>
          <t>3Q26</t>
        </is>
      </c>
      <c r="C205" t="inlineStr">
        <is>
          <t>Street diluted EPS ($)</t>
        </is>
      </c>
      <c r="D205" t="inlineStr">
        <is>
          <t>usd</t>
        </is>
      </c>
      <c r="E205" t="n">
        <v>2.85</v>
      </c>
      <c r="F205" t="n">
        <v>2.85</v>
      </c>
      <c r="G205" t="n">
        <v>2.85</v>
      </c>
    </row>
    <row r="206">
      <c r="A206" t="inlineStr">
        <is>
          <t>STREET_EPS</t>
        </is>
      </c>
      <c r="B206" t="inlineStr">
        <is>
          <t>FY27</t>
        </is>
      </c>
      <c r="C206" t="inlineStr">
        <is>
          <t>Street diluted EPS ($)</t>
        </is>
      </c>
      <c r="D206" t="inlineStr">
        <is>
          <t>usd</t>
        </is>
      </c>
      <c r="E206" t="n">
        <v>6.23</v>
      </c>
      <c r="F206" t="n">
        <v>6.23</v>
      </c>
      <c r="G206" t="n">
        <v>6.23</v>
      </c>
    </row>
    <row r="207">
      <c r="A207" t="inlineStr">
        <is>
          <t>STREET_MARGIN</t>
        </is>
      </c>
      <c r="B207" t="inlineStr">
        <is>
          <t>FY27</t>
        </is>
      </c>
      <c r="C207" t="inlineStr">
        <is>
          <t>Street adjusted EBITDA margin (%)</t>
        </is>
      </c>
      <c r="D207" t="inlineStr">
        <is>
          <t>pct</t>
        </is>
      </c>
      <c r="E207" t="n">
        <v>36.45</v>
      </c>
      <c r="F207" t="n">
        <v>36.45</v>
      </c>
      <c r="G207" t="n">
        <v>36.45</v>
      </c>
    </row>
    <row r="208">
      <c r="A208" t="inlineStr">
        <is>
          <t>MULT</t>
        </is>
      </c>
      <c r="B208" t="inlineStr">
        <is>
          <t>FY27</t>
        </is>
      </c>
      <c r="C208" t="inlineStr">
        <is>
          <t>Exit EV / adj. EBITDA multiple (x)</t>
        </is>
      </c>
      <c r="D208" t="inlineStr">
        <is>
          <t>x</t>
        </is>
      </c>
      <c r="E208" t="n">
        <v>16.03</v>
      </c>
      <c r="F208" t="n">
        <v>12.29</v>
      </c>
      <c r="G208" t="n">
        <v>20.76</v>
      </c>
    </row>
    <row r="209">
      <c r="A209" t="inlineStr">
        <is>
          <t>SLOPE</t>
        </is>
      </c>
      <c r="B209" t="inlineStr">
        <is>
          <t>ALL</t>
        </is>
      </c>
      <c r="C209" t="inlineStr">
        <is>
          <t>Exit multiple slope (turns per pp of growth)</t>
        </is>
      </c>
      <c r="D209" t="inlineStr">
        <is>
          <t>x</t>
        </is>
      </c>
      <c r="E209" t="n">
        <v>0.486</v>
      </c>
      <c r="F209" t="n">
        <v>0.486</v>
      </c>
      <c r="G209" t="n">
        <v>0.486</v>
      </c>
    </row>
    <row r="210">
      <c r="A210" t="inlineStr">
        <is>
          <t>SPOT</t>
        </is>
      </c>
      <c r="B210" t="inlineStr">
        <is>
          <t>ALL</t>
        </is>
      </c>
      <c r="C210" t="inlineStr">
        <is>
          <t>Spot price ($)</t>
        </is>
      </c>
      <c r="D210" t="inlineStr">
        <is>
          <t>usd</t>
        </is>
      </c>
      <c r="E210" t="n">
        <v>167.51</v>
      </c>
      <c r="F210" t="n">
        <v>167.51</v>
      </c>
      <c r="G210" t="n">
        <v>167.51</v>
      </c>
    </row>
    <row r="211">
      <c r="A211" t="inlineStr">
        <is>
          <t>NETCASH</t>
        </is>
      </c>
      <c r="B211" t="inlineStr">
        <is>
          <t>ALL</t>
        </is>
      </c>
      <c r="C211" t="inlineStr">
        <is>
          <t>Net cash ex client-held float ($M)</t>
        </is>
      </c>
      <c r="D211" t="inlineStr">
        <is>
          <t>musd</t>
        </is>
      </c>
      <c r="E211" t="n">
        <v>9569</v>
      </c>
      <c r="F211" t="n">
        <v>9569</v>
      </c>
      <c r="G211" t="n">
        <v>9569</v>
      </c>
    </row>
    <row r="212">
      <c r="A212" t="inlineStr">
        <is>
          <t>SHARES_DIL</t>
        </is>
      </c>
      <c r="B212" t="inlineStr">
        <is>
          <t>ALL</t>
        </is>
      </c>
      <c r="C212" t="inlineStr">
        <is>
          <t>Diluted shares, valuation basis (m)</t>
        </is>
      </c>
      <c r="D212" t="inlineStr">
        <is>
          <t>m</t>
        </is>
      </c>
      <c r="E212" t="n">
        <v>597</v>
      </c>
      <c r="F212" t="n">
        <v>597</v>
      </c>
      <c r="G212" t="n">
        <v>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2026-09-18T16:05:47Z</dcterms:created>
  <dcterms:modified xsi:type="dcterms:W3CDTF">2026-09-18T16:05:47Z</dcterms:modified>
</cp:coreProperties>
</file>